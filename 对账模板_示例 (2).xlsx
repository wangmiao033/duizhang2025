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800" windowHeight="17655" activeTab="1"/>
  </bookViews>
  <sheets>
    <sheet name="Sheet1" sheetId="1" r:id="rId1"/>
    <sheet name="Sheet2" sheetId="2"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<sst xmlns="http://schemas.openxmlformats.org/spreadsheetml/2006/main" count="116" uniqueCount="53">
  <si>
    <t>熊动&amp;7723-2025年9月结算对账单</t>
  </si>
  <si>
    <t>结算月份</t>
  </si>
  <si>
    <t>合作方</t>
  </si>
  <si>
    <t>游戏</t>
  </si>
  <si>
    <t>游戏流水</t>
  </si>
  <si>
    <t>测试费</t>
  </si>
  <si>
    <t>代金券</t>
  </si>
  <si>
    <t>通道费率</t>
  </si>
  <si>
    <t>税点</t>
  </si>
  <si>
    <t>分成比例</t>
  </si>
  <si>
    <t>结算金额(元)</t>
  </si>
  <si>
    <t>退款</t>
  </si>
  <si>
    <t>折扣</t>
  </si>
  <si>
    <t>2025年9月</t>
  </si>
  <si>
    <t>熊动</t>
  </si>
  <si>
    <t>一起来修仙(0.05折）</t>
  </si>
  <si>
    <t>一起来修仙（0.05折）</t>
  </si>
  <si>
    <t>圣树唤歌（0.05折）</t>
  </si>
  <si>
    <t>合计</t>
  </si>
  <si>
    <t>甲方信息</t>
  </si>
  <si>
    <t>乙方信息</t>
  </si>
  <si>
    <t>发票抬头：</t>
  </si>
  <si>
    <t>厦门巴掌互动科技有限公司</t>
  </si>
  <si>
    <t>公司名称：</t>
  </si>
  <si>
    <t>广州熊动科技有限公司</t>
  </si>
  <si>
    <t>发票内容：</t>
  </si>
  <si>
    <t>*信息系统服务*信息服务费</t>
  </si>
  <si>
    <t>账户开户行：</t>
  </si>
  <si>
    <t>中国工商银行股份有限公司广州兴华支行</t>
  </si>
  <si>
    <t>开票税务登记号：</t>
  </si>
  <si>
    <t>91350203MA348H8D3Y</t>
  </si>
  <si>
    <t>银行账号：</t>
  </si>
  <si>
    <t>3602841509200157769</t>
  </si>
  <si>
    <t>开票地址：</t>
  </si>
  <si>
    <t>厦门市软件园三期凤岐路199-1号1003单元</t>
  </si>
  <si>
    <t>开票基本户银行：</t>
  </si>
  <si>
    <t>兴业银行厦门集美支行</t>
  </si>
  <si>
    <t>开票基本户账号：</t>
  </si>
  <si>
    <t>129980100100171131</t>
  </si>
  <si>
    <t>电话：</t>
  </si>
  <si>
    <t>0592-6219126</t>
  </si>
  <si>
    <t>备注（很重要！）</t>
  </si>
  <si>
    <r>
      <rPr>
        <sz val="10"/>
        <rFont val="微软雅黑"/>
        <charset val="134"/>
      </rPr>
      <t>1、本表作为双方对账、支付的凭据。“结算金额”栏为当月甲方向乙方支付的具体费用。</t>
    </r>
    <r>
      <rPr>
        <b/>
        <sz val="10"/>
        <color rgb="FFFF0000"/>
        <rFont val="微软雅黑"/>
        <charset val="134"/>
      </rPr>
      <t>请详细阅读备注，以免回款滞留。</t>
    </r>
  </si>
  <si>
    <r>
      <rPr>
        <sz val="10"/>
        <rFont val="微软雅黑"/>
        <charset val="134"/>
      </rPr>
      <t>2、本表需贵公司确认数据无误后加盖公章或财务章后</t>
    </r>
    <r>
      <rPr>
        <b/>
        <sz val="10"/>
        <color rgb="FFFF0000"/>
        <rFont val="微软雅黑"/>
        <charset val="134"/>
      </rPr>
      <t>原件竖版打印回寄1份</t>
    </r>
    <r>
      <rPr>
        <sz val="10"/>
        <rFont val="微软雅黑"/>
        <charset val="134"/>
      </rPr>
      <t>给我司，如贵公司需寄回对账单，请</t>
    </r>
    <r>
      <rPr>
        <b/>
        <sz val="10"/>
        <color rgb="FFFF0000"/>
        <rFont val="微软雅黑"/>
        <charset val="134"/>
      </rPr>
      <t>竖版打印2份</t>
    </r>
    <r>
      <rPr>
        <sz val="10"/>
        <rFont val="微软雅黑"/>
        <charset val="134"/>
      </rPr>
      <t>。本表经双方盖章后生效。</t>
    </r>
  </si>
  <si>
    <r>
      <rPr>
        <sz val="10"/>
        <rFont val="微软雅黑"/>
        <charset val="134"/>
      </rPr>
      <t>3、纸质发票复核人和开票人不可一致，开票人也不可为管理员！！</t>
    </r>
    <r>
      <rPr>
        <b/>
        <sz val="10"/>
        <color rgb="FFFF0000"/>
        <rFont val="微软雅黑"/>
        <charset val="134"/>
      </rPr>
      <t>电子发票需回传pdf格式只需邮寄账单原件！！</t>
    </r>
  </si>
  <si>
    <t>4、如贵公司开具的是增专票6%，税点为0；开具的增专票为3%，税点为3.72%；普票，税点为6.72%。</t>
  </si>
  <si>
    <t>5、邮寄地址：厦门市集美区软件园三期B区百通科技园一号楼10楼04巴掌互动  冯淑丽  18850222127</t>
  </si>
  <si>
    <t>6、合同编码：</t>
  </si>
  <si>
    <t>合同签订：</t>
  </si>
  <si>
    <t>合同到期：</t>
  </si>
  <si>
    <t>甲方：厦门巴掌互动科技有限公司</t>
  </si>
  <si>
    <t>乙方：广州熊动科技有限公司</t>
  </si>
  <si>
    <t>公司盖章：</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</si>
</sst>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_ "/>
    <numFmt numFmtId="177" formatCode="#,##0.00_ "/>
    <numFmt numFmtId="178" formatCode="#,##0_ "/>
    <numFmt numFmtId="179" formatCode="#,##0.00_);[Red]\(#,##0.00\)"/>
    <numFmt numFmtId="180" formatCode="yyyy/m/d;@"/>
  </numFmts>
  <fonts count="34">
    <font>
      <sz val="11"/>
      <color theme="1"/>
      <name val="宋体"/>
      <charset val="134"/>
      <scheme val="minor"/>
    </font>
    <font>
      <b/>
      <sz val="20"/>
      <name val="微软雅黑"/>
      <charset val="134"/>
    </font>
    <font>
      <b/>
      <sz val="12"/>
      <name val="微软雅黑"/>
      <charset val="134"/>
    </font>
    <font>
      <sz val="11"/>
      <color theme="1"/>
      <name val="微软雅黑"/>
      <charset val="134"/>
    </font>
    <font>
      <sz val="11"/>
      <color rgb="FF000000"/>
      <name val="微软雅黑"/>
      <charset val="134"/>
    </font>
    <font>
      <sz val="12"/>
      <color rgb="FF000000"/>
      <name val="微软雅黑"/>
      <charset val="134"/>
    </font>
    <font>
      <sz val="12"/>
      <color theme="1"/>
      <name val="微软雅黑"/>
      <charset val="134"/>
    </font>
    <font>
      <b/>
      <sz val="12"/>
      <color theme="1"/>
      <name val="微软雅黑"/>
      <charset val="134"/>
    </font>
    <font>
      <b/>
      <sz val="11"/>
      <color theme="1"/>
      <name val="微软雅黑"/>
      <charset val="134"/>
    </font>
    <font>
      <b/>
      <sz val="11"/>
      <name val="微软雅黑"/>
      <charset val="134"/>
    </font>
    <font>
      <sz val="10"/>
      <name val="微软雅黑"/>
      <charset val="134"/>
    </font>
    <font>
      <b/>
      <sz val="10"/>
      <color rgb="FFFF0000"/>
      <name val="微软雅黑"/>
      <charset val="134"/>
    </font>
    <font>
      <sz val="10"/>
      <color theme="1"/>
      <name val="微软雅黑"/>
      <charset val="134"/>
    </font>
    <font>
      <sz val="10"/>
      <color rgb="FFFF0000"/>
      <name val="微软雅黑"/>
      <charset val="134"/>
    </font>
    <font>
      <sz val="1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9" tint="0.399945066682943"/>
        <bgColor indexed="64"/>
      </patternFill>
    </fill>
    <fill>
      <patternFill patternType="solid">
        <fgColor rgb="FFFFFFFF"/>
        <bgColor indexed="64"/>
      </patternFill>
    </fill>
    <fill>
      <patternFill patternType="solid">
        <fgColor theme="9"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9">
    <border>
      <left/>
      <right/>
      <top/>
      <bottom/>
      <diagonal/>
    </border>
    <border>
      <left style="double">
        <color theme="9" tint="-0.499984740745262"/>
      </left>
      <right style="hair">
        <color theme="9" tint="-0.249946592608417"/>
      </right>
      <top style="double">
        <color theme="9" tint="-0.499984740745262"/>
      </top>
      <bottom style="hair">
        <color theme="9" tint="-0.249946592608417"/>
      </bottom>
      <diagonal/>
    </border>
    <border>
      <left style="hair">
        <color theme="9" tint="-0.249946592608417"/>
      </left>
      <right style="hair">
        <color theme="9" tint="-0.249946592608417"/>
      </right>
      <top style="double">
        <color theme="9" tint="-0.499984740745262"/>
      </top>
      <bottom style="hair">
        <color theme="9" tint="-0.249946592608417"/>
      </bottom>
      <diagonal/>
    </border>
    <border>
      <left style="hair">
        <color theme="9" tint="-0.249946592608417"/>
      </left>
      <right style="double">
        <color theme="9" tint="-0.499984740745262"/>
      </right>
      <top style="double">
        <color theme="9" tint="-0.499984740745262"/>
      </top>
      <bottom style="hair">
        <color theme="9" tint="-0.249946592608417"/>
      </bottom>
      <diagonal/>
    </border>
    <border>
      <left style="double">
        <color theme="9" tint="-0.499984740745262"/>
      </left>
      <right style="hair">
        <color theme="9" tint="-0.249946592608417"/>
      </right>
      <top style="hair">
        <color theme="9" tint="-0.249946592608417"/>
      </top>
      <bottom style="hair">
        <color theme="9" tint="-0.249946592608417"/>
      </bottom>
      <diagonal/>
    </border>
    <border>
      <left style="hair">
        <color theme="9" tint="-0.249946592608417"/>
      </left>
      <right style="hair">
        <color theme="9" tint="-0.249946592608417"/>
      </right>
      <top style="hair">
        <color theme="9" tint="-0.249946592608417"/>
      </top>
      <bottom style="hair">
        <color theme="9" tint="-0.249946592608417"/>
      </bottom>
      <diagonal/>
    </border>
    <border>
      <left style="hair">
        <color rgb="FF548235"/>
      </left>
      <right style="hair">
        <color rgb="FF548235"/>
      </right>
      <top style="hair">
        <color rgb="FF548235"/>
      </top>
      <bottom style="hair">
        <color rgb="FF548235"/>
      </bottom>
      <diagonal/>
    </border>
    <border>
      <left style="hair">
        <color theme="9" tint="-0.249946592608417"/>
      </left>
      <right/>
      <top style="hair">
        <color theme="9" tint="-0.249946592608417"/>
      </top>
      <bottom style="hair">
        <color theme="9" tint="-0.249946592608417"/>
      </bottom>
      <diagonal/>
    </border>
    <border>
      <left style="hair">
        <color theme="9" tint="-0.249946592608417"/>
      </left>
      <right style="double">
        <color theme="9" tint="-0.499984740745262"/>
      </right>
      <top style="hair">
        <color theme="9" tint="-0.249946592608417"/>
      </top>
      <bottom style="hair">
        <color theme="9" tint="-0.249946592608417"/>
      </bottom>
      <diagonal/>
    </border>
    <border>
      <left style="double">
        <color theme="9" tint="-0.499984740745262"/>
      </left>
      <right style="hair">
        <color theme="9" tint="-0.249946592608417"/>
      </right>
      <top style="hair">
        <color theme="9" tint="-0.249946592608417"/>
      </top>
      <bottom style="thin">
        <color theme="9" tint="-0.249946592608417"/>
      </bottom>
      <diagonal/>
    </border>
    <border>
      <left style="hair">
        <color theme="9" tint="-0.249946592608417"/>
      </left>
      <right style="hair">
        <color theme="9" tint="-0.249946592608417"/>
      </right>
      <top style="hair">
        <color theme="9" tint="-0.249946592608417"/>
      </top>
      <bottom style="thin">
        <color theme="9" tint="-0.249946592608417"/>
      </bottom>
      <diagonal/>
    </border>
    <border>
      <left style="hair">
        <color theme="9" tint="-0.249946592608417"/>
      </left>
      <right/>
      <top style="hair">
        <color theme="9" tint="-0.249946592608417"/>
      </top>
      <bottom style="thin">
        <color theme="9" tint="-0.249946592608417"/>
      </bottom>
      <diagonal/>
    </border>
    <border>
      <left style="hair">
        <color theme="9" tint="-0.249946592608417"/>
      </left>
      <right style="double">
        <color theme="9" tint="-0.499984740745262"/>
      </right>
      <top style="hair">
        <color theme="9" tint="-0.249946592608417"/>
      </top>
      <bottom style="thin">
        <color theme="9" tint="-0.249946592608417"/>
      </bottom>
      <diagonal/>
    </border>
    <border>
      <left style="double">
        <color theme="9" tint="-0.499984740745262"/>
      </left>
      <right/>
      <top style="thin">
        <color theme="9" tint="-0.249946592608417"/>
      </top>
      <bottom style="hair">
        <color theme="9" tint="-0.249946592608417"/>
      </bottom>
      <diagonal/>
    </border>
    <border>
      <left/>
      <right/>
      <top style="thin">
        <color theme="9" tint="-0.249946592608417"/>
      </top>
      <bottom style="hair">
        <color theme="9" tint="-0.249946592608417"/>
      </bottom>
      <diagonal/>
    </border>
    <border>
      <left/>
      <right style="thin">
        <color theme="9" tint="-0.249946592608417"/>
      </right>
      <top style="thin">
        <color theme="9" tint="-0.249946592608417"/>
      </top>
      <bottom style="hair">
        <color theme="9" tint="-0.249946592608417"/>
      </bottom>
      <diagonal/>
    </border>
    <border>
      <left/>
      <right style="hair">
        <color theme="9" tint="-0.249946592608417"/>
      </right>
      <top style="thin">
        <color theme="9" tint="-0.249946592608417"/>
      </top>
      <bottom style="hair">
        <color theme="9" tint="-0.249946592608417"/>
      </bottom>
      <diagonal/>
    </border>
    <border>
      <left style="hair">
        <color theme="9" tint="-0.249946592608417"/>
      </left>
      <right style="hair">
        <color theme="9" tint="-0.249946592608417"/>
      </right>
      <top style="thin">
        <color theme="9" tint="-0.249946592608417"/>
      </top>
      <bottom style="hair">
        <color theme="9" tint="-0.249946592608417"/>
      </bottom>
      <diagonal/>
    </border>
    <border>
      <left style="hair">
        <color theme="9" tint="-0.249946592608417"/>
      </left>
      <right/>
      <top style="thin">
        <color theme="9" tint="-0.249946592608417"/>
      </top>
      <bottom style="hair">
        <color theme="9" tint="-0.249946592608417"/>
      </bottom>
      <diagonal/>
    </border>
    <border>
      <left style="hair">
        <color theme="9" tint="-0.249946592608417"/>
      </left>
      <right style="double">
        <color theme="9" tint="-0.499984740745262"/>
      </right>
      <top style="thin">
        <color theme="9" tint="-0.249946592608417"/>
      </top>
      <bottom style="hair">
        <color theme="9" tint="-0.249946592608417"/>
      </bottom>
      <diagonal/>
    </border>
    <border>
      <left/>
      <right/>
      <top style="hair">
        <color theme="9" tint="-0.249946592608417"/>
      </top>
      <bottom style="hair">
        <color theme="9" tint="-0.249946592608417"/>
      </bottom>
      <diagonal/>
    </border>
    <border>
      <left/>
      <right style="thin">
        <color theme="9" tint="-0.249946592608417"/>
      </right>
      <top style="hair">
        <color theme="9" tint="-0.249946592608417"/>
      </top>
      <bottom style="hair">
        <color theme="9" tint="-0.249946592608417"/>
      </bottom>
      <diagonal/>
    </border>
    <border>
      <left style="thin">
        <color theme="9" tint="-0.249946592608417"/>
      </left>
      <right style="hair">
        <color theme="9" tint="-0.249946592608417"/>
      </right>
      <top style="hair">
        <color theme="9" tint="-0.249946592608417"/>
      </top>
      <bottom style="hair">
        <color theme="9" tint="-0.249946592608417"/>
      </bottom>
      <diagonal/>
    </border>
    <border>
      <left/>
      <right style="double">
        <color theme="9" tint="-0.499984740745262"/>
      </right>
      <top style="hair">
        <color theme="9" tint="-0.249946592608417"/>
      </top>
      <bottom style="hair">
        <color theme="9" tint="-0.249946592608417"/>
      </bottom>
      <diagonal/>
    </border>
    <border>
      <left style="hair">
        <color theme="9" tint="-0.249946592608417"/>
      </left>
      <right style="thin">
        <color theme="9" tint="-0.249946592608417"/>
      </right>
      <top style="hair">
        <color theme="9" tint="-0.249946592608417"/>
      </top>
      <bottom style="hair">
        <color theme="9" tint="-0.249946592608417"/>
      </bottom>
      <diagonal/>
    </border>
    <border>
      <left style="thin">
        <color theme="9" tint="-0.249946592608417"/>
      </left>
      <right/>
      <top style="hair">
        <color theme="9" tint="-0.249946592608417"/>
      </top>
      <bottom style="hair">
        <color theme="9" tint="-0.249946592608417"/>
      </bottom>
      <diagonal/>
    </border>
    <border>
      <left style="hair">
        <color theme="9" tint="-0.249946592608417"/>
      </left>
      <right style="thin">
        <color theme="9" tint="-0.249946592608417"/>
      </right>
      <top style="hair">
        <color theme="9" tint="-0.249946592608417"/>
      </top>
      <bottom style="thin">
        <color theme="9" tint="-0.249946592608417"/>
      </bottom>
      <diagonal/>
    </border>
    <border>
      <left/>
      <right/>
      <top/>
      <bottom style="thin">
        <color theme="9" tint="-0.249946592608417"/>
      </bottom>
      <diagonal/>
    </border>
    <border>
      <left style="thin">
        <color theme="9" tint="-0.249946592608417"/>
      </left>
      <right/>
      <top/>
      <bottom style="thin">
        <color theme="9" tint="-0.249946592608417"/>
      </bottom>
      <diagonal/>
    </border>
    <border>
      <left/>
      <right style="double">
        <color theme="9" tint="-0.499984740745262"/>
      </right>
      <top/>
      <bottom style="thin">
        <color theme="9" tint="-0.249946592608417"/>
      </bottom>
      <diagonal/>
    </border>
    <border>
      <left style="double">
        <color theme="9" tint="-0.499984740745262"/>
      </left>
      <right/>
      <top style="thin">
        <color theme="9" tint="-0.249946592608417"/>
      </top>
      <bottom/>
      <diagonal/>
    </border>
    <border>
      <left style="dashed">
        <color theme="9" tint="-0.249946592608417"/>
      </left>
      <right/>
      <top style="thin">
        <color theme="9" tint="-0.249946592608417"/>
      </top>
      <bottom/>
      <diagonal/>
    </border>
    <border>
      <left/>
      <right/>
      <top style="thin">
        <color theme="9" tint="-0.249946592608417"/>
      </top>
      <bottom/>
      <diagonal/>
    </border>
    <border>
      <left/>
      <right style="double">
        <color theme="9" tint="-0.499984740745262"/>
      </right>
      <top style="thin">
        <color theme="9" tint="-0.249946592608417"/>
      </top>
      <bottom/>
      <diagonal/>
    </border>
    <border>
      <left style="double">
        <color theme="9" tint="-0.499984740745262"/>
      </left>
      <right/>
      <top/>
      <bottom/>
      <diagonal/>
    </border>
    <border>
      <left style="dashed">
        <color theme="9" tint="-0.249946592608417"/>
      </left>
      <right/>
      <top/>
      <bottom/>
      <diagonal/>
    </border>
    <border>
      <left/>
      <right style="double">
        <color theme="9" tint="-0.499984740745262"/>
      </right>
      <top/>
      <bottom/>
      <diagonal/>
    </border>
    <border>
      <left style="double">
        <color theme="9" tint="-0.499984740745262"/>
      </left>
      <right/>
      <top/>
      <bottom style="double">
        <color theme="9" tint="-0.499984740745262"/>
      </bottom>
      <diagonal/>
    </border>
    <border>
      <left style="dashed">
        <color theme="9" tint="-0.249946592608417"/>
      </left>
      <right/>
      <top/>
      <bottom style="double">
        <color theme="9" tint="-0.499984740745262"/>
      </bottom>
      <diagonal/>
    </border>
    <border>
      <left/>
      <right/>
      <top/>
      <bottom style="double">
        <color theme="9" tint="-0.499984740745262"/>
      </bottom>
      <diagonal/>
    </border>
    <border>
      <left/>
      <right style="double">
        <color theme="9" tint="-0.499984740745262"/>
      </right>
      <top/>
      <bottom style="double">
        <color theme="9"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5" borderId="41"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42" applyNumberFormat="0" applyFill="0" applyAlignment="0" applyProtection="0">
      <alignment vertical="center"/>
    </xf>
    <xf numFmtId="0" fontId="21" fillId="0" borderId="42" applyNumberFormat="0" applyFill="0" applyAlignment="0" applyProtection="0">
      <alignment vertical="center"/>
    </xf>
    <xf numFmtId="0" fontId="22" fillId="0" borderId="43" applyNumberFormat="0" applyFill="0" applyAlignment="0" applyProtection="0">
      <alignment vertical="center"/>
    </xf>
    <xf numFmtId="0" fontId="22" fillId="0" borderId="0" applyNumberFormat="0" applyFill="0" applyBorder="0" applyAlignment="0" applyProtection="0">
      <alignment vertical="center"/>
    </xf>
    <xf numFmtId="0" fontId="23" fillId="6" borderId="44" applyNumberFormat="0" applyAlignment="0" applyProtection="0">
      <alignment vertical="center"/>
    </xf>
    <xf numFmtId="0" fontId="24" fillId="7" borderId="45" applyNumberFormat="0" applyAlignment="0" applyProtection="0">
      <alignment vertical="center"/>
    </xf>
    <xf numFmtId="0" fontId="25" fillId="7" borderId="44" applyNumberFormat="0" applyAlignment="0" applyProtection="0">
      <alignment vertical="center"/>
    </xf>
    <xf numFmtId="0" fontId="26" fillId="8" borderId="46" applyNumberFormat="0" applyAlignment="0" applyProtection="0">
      <alignment vertical="center"/>
    </xf>
    <xf numFmtId="0" fontId="27" fillId="0" borderId="47" applyNumberFormat="0" applyFill="0" applyAlignment="0" applyProtection="0">
      <alignment vertical="center"/>
    </xf>
    <xf numFmtId="0" fontId="28" fillId="0" borderId="48" applyNumberFormat="0" applyFill="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cellStyleXfs>
  <cellXfs count="84">
    <xf numFmtId="0" fontId="0" fillId="0" borderId="0" xfId="0">
      <alignment vertical="center"/>
    </xf>
    <xf numFmtId="49" fontId="1" fillId="0" borderId="0" xfId="0" applyNumberFormat="1" applyFont="1" applyFill="1" applyBorder="1" applyAlignment="1">
      <alignment horizontal="center" vertical="center"/>
    </xf>
    <xf numFmtId="176" fontId="1" fillId="0" borderId="0"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xf>
    <xf numFmtId="0" fontId="2" fillId="2" borderId="2" xfId="0" applyFont="1" applyFill="1" applyBorder="1" applyAlignment="1">
      <alignment horizontal="center" vertical="center"/>
    </xf>
    <xf numFmtId="176" fontId="2" fillId="2" borderId="3" xfId="0" applyNumberFormat="1" applyFont="1" applyFill="1" applyBorder="1" applyAlignment="1">
      <alignment horizontal="center" vertical="center"/>
    </xf>
    <xf numFmtId="49" fontId="3" fillId="0" borderId="4" xfId="0" applyNumberFormat="1" applyFont="1" applyFill="1" applyBorder="1" applyAlignment="1">
      <alignment vertical="center"/>
    </xf>
    <xf numFmtId="0" fontId="3" fillId="0" borderId="5" xfId="0" applyFont="1" applyFill="1" applyBorder="1" applyAlignment="1">
      <alignment vertical="center"/>
    </xf>
    <xf numFmtId="0" fontId="4" fillId="0" borderId="6" xfId="0" applyNumberFormat="1" applyFont="1" applyFill="1" applyBorder="1" applyAlignment="1">
      <alignment vertical="center"/>
    </xf>
    <xf numFmtId="177" fontId="5" fillId="3" borderId="6" xfId="1" applyNumberFormat="1" applyFont="1" applyFill="1" applyBorder="1" applyAlignment="1">
      <alignment vertical="center"/>
    </xf>
    <xf numFmtId="178" fontId="5" fillId="3" borderId="6" xfId="1" applyNumberFormat="1" applyFont="1" applyFill="1" applyBorder="1" applyAlignment="1">
      <alignment horizontal="center" vertical="center"/>
    </xf>
    <xf numFmtId="9" fontId="3" fillId="0" borderId="5" xfId="0" applyNumberFormat="1" applyFont="1" applyFill="1" applyBorder="1" applyAlignment="1">
      <alignment horizontal="center" vertical="center"/>
    </xf>
    <xf numFmtId="179" fontId="6" fillId="0" borderId="5" xfId="1" applyNumberFormat="1" applyFont="1" applyFill="1" applyBorder="1" applyAlignment="1">
      <alignment horizontal="center" vertical="center"/>
    </xf>
    <xf numFmtId="179" fontId="6" fillId="0" borderId="7" xfId="1" applyNumberFormat="1" applyFont="1" applyFill="1" applyBorder="1" applyAlignment="1">
      <alignment horizontal="center" vertical="center"/>
    </xf>
    <xf numFmtId="176" fontId="6" fillId="0" borderId="8" xfId="0" applyNumberFormat="1" applyFont="1" applyFill="1" applyBorder="1" applyAlignment="1">
      <alignment horizontal="center" vertical="center"/>
    </xf>
    <xf numFmtId="49" fontId="7" fillId="4" borderId="9" xfId="0" applyNumberFormat="1" applyFont="1" applyFill="1" applyBorder="1" applyAlignment="1">
      <alignment vertical="center"/>
    </xf>
    <xf numFmtId="0" fontId="7" fillId="4" borderId="10" xfId="0" applyFont="1" applyFill="1" applyBorder="1" applyAlignment="1">
      <alignment vertical="center"/>
    </xf>
    <xf numFmtId="179" fontId="7" fillId="4" borderId="10" xfId="1" applyNumberFormat="1" applyFont="1" applyFill="1" applyBorder="1" applyAlignment="1">
      <alignment horizontal="center" vertical="center"/>
    </xf>
    <xf numFmtId="179" fontId="7" fillId="4" borderId="11" xfId="1" applyNumberFormat="1" applyFont="1" applyFill="1" applyBorder="1" applyAlignment="1">
      <alignment horizontal="center" vertical="center"/>
    </xf>
    <xf numFmtId="176" fontId="6" fillId="4" borderId="12" xfId="0" applyNumberFormat="1" applyFont="1" applyFill="1" applyBorder="1" applyAlignment="1">
      <alignment horizontal="center" vertical="center"/>
    </xf>
    <xf numFmtId="0" fontId="7" fillId="0" borderId="13" xfId="0" applyFont="1" applyFill="1" applyBorder="1" applyAlignment="1">
      <alignment horizontal="center" vertical="center"/>
    </xf>
    <xf numFmtId="0" fontId="7" fillId="0" borderId="14" xfId="0" applyFont="1" applyFill="1" applyBorder="1" applyAlignment="1">
      <alignment horizontal="center" vertical="center"/>
    </xf>
    <xf numFmtId="0" fontId="7" fillId="0" borderId="15" xfId="0" applyFont="1" applyFill="1" applyBorder="1" applyAlignment="1">
      <alignment horizontal="center" vertical="center"/>
    </xf>
    <xf numFmtId="0" fontId="7" fillId="0" borderId="14" xfId="0" applyFont="1" applyFill="1" applyBorder="1" applyAlignment="1">
      <alignment vertical="center"/>
    </xf>
    <xf numFmtId="0" fontId="7" fillId="0" borderId="16" xfId="0" applyFont="1" applyFill="1" applyBorder="1" applyAlignment="1">
      <alignment horizontal="center" vertical="center"/>
    </xf>
    <xf numFmtId="0" fontId="7" fillId="0" borderId="17" xfId="0" applyFont="1" applyFill="1" applyBorder="1" applyAlignment="1">
      <alignment horizontal="center" vertical="center"/>
    </xf>
    <xf numFmtId="0" fontId="7" fillId="0" borderId="18" xfId="0" applyFont="1" applyFill="1" applyBorder="1" applyAlignment="1">
      <alignment horizontal="center" vertical="center"/>
    </xf>
    <xf numFmtId="176" fontId="7" fillId="0" borderId="19" xfId="0" applyNumberFormat="1" applyFont="1" applyFill="1" applyBorder="1" applyAlignment="1">
      <alignment horizontal="center" vertical="center"/>
    </xf>
    <xf numFmtId="0" fontId="3" fillId="0" borderId="4" xfId="0" applyFont="1" applyFill="1" applyBorder="1" applyAlignment="1">
      <alignment horizontal="left" vertical="center"/>
    </xf>
    <xf numFmtId="0" fontId="3" fillId="0" borderId="7" xfId="0" applyFont="1" applyFill="1" applyBorder="1" applyAlignment="1">
      <alignment vertical="center"/>
    </xf>
    <xf numFmtId="0" fontId="3" fillId="0" borderId="20" xfId="0" applyFont="1" applyFill="1" applyBorder="1" applyAlignment="1">
      <alignment vertical="center"/>
    </xf>
    <xf numFmtId="0" fontId="3" fillId="0" borderId="21" xfId="0" applyFont="1" applyFill="1" applyBorder="1" applyAlignment="1">
      <alignment vertical="center"/>
    </xf>
    <xf numFmtId="0" fontId="3" fillId="0" borderId="22" xfId="0" applyFont="1" applyFill="1" applyBorder="1" applyAlignment="1">
      <alignment horizontal="left" vertical="center"/>
    </xf>
    <xf numFmtId="0" fontId="3" fillId="0" borderId="7" xfId="0" applyFont="1" applyFill="1" applyBorder="1" applyAlignment="1">
      <alignment horizontal="left" vertical="center"/>
    </xf>
    <xf numFmtId="0" fontId="3" fillId="0" borderId="20" xfId="0" applyFont="1" applyFill="1" applyBorder="1" applyAlignment="1">
      <alignment horizontal="left" vertical="center"/>
    </xf>
    <xf numFmtId="176" fontId="3" fillId="0" borderId="23" xfId="0" applyNumberFormat="1" applyFont="1" applyFill="1" applyBorder="1" applyAlignment="1">
      <alignment horizontal="left" vertical="center"/>
    </xf>
    <xf numFmtId="0" fontId="3" fillId="0" borderId="5" xfId="0" applyFont="1" applyFill="1" applyBorder="1" applyAlignment="1">
      <alignment horizontal="left" vertical="center"/>
    </xf>
    <xf numFmtId="0" fontId="3" fillId="0" borderId="24" xfId="0" applyFont="1" applyFill="1" applyBorder="1" applyAlignment="1">
      <alignment horizontal="left" vertical="center"/>
    </xf>
    <xf numFmtId="49" fontId="3" fillId="0" borderId="7" xfId="0" applyNumberFormat="1" applyFont="1" applyFill="1" applyBorder="1" applyAlignment="1">
      <alignment horizontal="left" vertical="center"/>
    </xf>
    <xf numFmtId="49" fontId="3" fillId="0" borderId="20" xfId="0" applyNumberFormat="1" applyFont="1" applyFill="1" applyBorder="1" applyAlignment="1">
      <alignment horizontal="left" vertical="center"/>
    </xf>
    <xf numFmtId="0" fontId="3" fillId="0" borderId="5" xfId="0" applyFont="1" applyFill="1" applyBorder="1" applyAlignment="1">
      <alignment horizontal="left" vertical="center" wrapText="1"/>
    </xf>
    <xf numFmtId="0" fontId="3" fillId="0" borderId="24" xfId="0" applyFont="1" applyFill="1" applyBorder="1" applyAlignment="1">
      <alignment horizontal="left" vertical="center" wrapText="1"/>
    </xf>
    <xf numFmtId="0" fontId="3" fillId="0" borderId="25" xfId="0" applyFont="1" applyFill="1" applyBorder="1" applyAlignment="1">
      <alignment horizontal="left" vertical="center"/>
    </xf>
    <xf numFmtId="49" fontId="3" fillId="0" borderId="5" xfId="0" applyNumberFormat="1" applyFont="1" applyFill="1" applyBorder="1" applyAlignment="1">
      <alignment horizontal="left" vertical="center"/>
    </xf>
    <xf numFmtId="49" fontId="3" fillId="0" borderId="24" xfId="0" applyNumberFormat="1" applyFont="1" applyFill="1" applyBorder="1" applyAlignment="1">
      <alignment horizontal="left" vertical="center"/>
    </xf>
    <xf numFmtId="0" fontId="3" fillId="0" borderId="9" xfId="0" applyFont="1" applyFill="1" applyBorder="1" applyAlignment="1">
      <alignment horizontal="left" vertical="center"/>
    </xf>
    <xf numFmtId="0" fontId="3" fillId="0" borderId="10" xfId="0" applyFont="1" applyFill="1" applyBorder="1" applyAlignment="1">
      <alignment horizontal="left" vertical="center"/>
    </xf>
    <xf numFmtId="0" fontId="3" fillId="0" borderId="26" xfId="0" applyFont="1" applyFill="1" applyBorder="1" applyAlignment="1">
      <alignment horizontal="left" vertical="center"/>
    </xf>
    <xf numFmtId="0" fontId="3" fillId="0" borderId="27" xfId="0" applyFont="1" applyFill="1" applyBorder="1" applyAlignment="1">
      <alignment horizontal="left" vertical="center"/>
    </xf>
    <xf numFmtId="0" fontId="8" fillId="0" borderId="28" xfId="0" applyFont="1" applyFill="1" applyBorder="1" applyAlignment="1">
      <alignment vertical="center"/>
    </xf>
    <xf numFmtId="0" fontId="8" fillId="0" borderId="27" xfId="0" applyFont="1" applyFill="1" applyBorder="1" applyAlignment="1">
      <alignment vertical="center"/>
    </xf>
    <xf numFmtId="176" fontId="8" fillId="0" borderId="29" xfId="0" applyNumberFormat="1" applyFont="1" applyFill="1" applyBorder="1" applyAlignment="1">
      <alignment vertical="center"/>
    </xf>
    <xf numFmtId="49" fontId="9" fillId="0" borderId="30" xfId="0" applyNumberFormat="1" applyFont="1" applyFill="1" applyBorder="1" applyAlignment="1">
      <alignment horizontal="center" vertical="center"/>
    </xf>
    <xf numFmtId="0" fontId="10" fillId="0" borderId="31" xfId="0" applyNumberFormat="1" applyFont="1" applyFill="1" applyBorder="1" applyAlignment="1">
      <alignment horizontal="left" vertical="center" wrapText="1"/>
    </xf>
    <xf numFmtId="0" fontId="10" fillId="0" borderId="32" xfId="0" applyNumberFormat="1" applyFont="1" applyFill="1" applyBorder="1" applyAlignment="1">
      <alignment horizontal="left" vertical="center" wrapText="1"/>
    </xf>
    <xf numFmtId="176" fontId="10" fillId="0" borderId="33" xfId="0" applyNumberFormat="1" applyFont="1" applyFill="1" applyBorder="1" applyAlignment="1">
      <alignment horizontal="left" vertical="center" wrapText="1"/>
    </xf>
    <xf numFmtId="49" fontId="9" fillId="0" borderId="34" xfId="0" applyNumberFormat="1" applyFont="1" applyFill="1" applyBorder="1" applyAlignment="1">
      <alignment horizontal="center" vertical="center"/>
    </xf>
    <xf numFmtId="0" fontId="10" fillId="0" borderId="35" xfId="0" applyNumberFormat="1" applyFont="1" applyFill="1" applyBorder="1" applyAlignment="1">
      <alignment horizontal="left" vertical="center" wrapText="1"/>
    </xf>
    <xf numFmtId="0" fontId="10" fillId="0" borderId="0" xfId="0" applyNumberFormat="1" applyFont="1" applyFill="1" applyBorder="1" applyAlignment="1">
      <alignment horizontal="left" vertical="center" wrapText="1"/>
    </xf>
    <xf numFmtId="176" fontId="10" fillId="0" borderId="36" xfId="0" applyNumberFormat="1" applyFont="1" applyFill="1" applyBorder="1" applyAlignment="1">
      <alignment horizontal="left" vertical="center" wrapText="1"/>
    </xf>
    <xf numFmtId="0" fontId="11" fillId="0" borderId="35" xfId="0" applyFont="1" applyFill="1" applyBorder="1" applyAlignment="1">
      <alignment horizontal="left" vertical="center"/>
    </xf>
    <xf numFmtId="0" fontId="11" fillId="0" borderId="0" xfId="0" applyFont="1" applyFill="1" applyAlignment="1">
      <alignment horizontal="left" vertical="center"/>
    </xf>
    <xf numFmtId="0" fontId="12" fillId="0" borderId="0" xfId="0" applyFont="1" applyFill="1" applyBorder="1" applyAlignment="1">
      <alignment horizontal="left" vertical="center"/>
    </xf>
    <xf numFmtId="176" fontId="12" fillId="0" borderId="36" xfId="0" applyNumberFormat="1" applyFont="1" applyFill="1" applyBorder="1" applyAlignment="1">
      <alignment horizontal="left" vertical="center"/>
    </xf>
    <xf numFmtId="0" fontId="12" fillId="0" borderId="35" xfId="0" applyFont="1" applyFill="1" applyBorder="1" applyAlignment="1">
      <alignment horizontal="left" vertical="center"/>
    </xf>
    <xf numFmtId="0" fontId="12" fillId="0" borderId="0" xfId="0" applyNumberFormat="1" applyFont="1" applyFill="1" applyAlignment="1">
      <alignment horizontal="left" vertical="center"/>
    </xf>
    <xf numFmtId="0" fontId="12" fillId="0" borderId="0" xfId="0" applyFont="1" applyFill="1" applyAlignment="1">
      <alignment horizontal="left" vertical="center"/>
    </xf>
    <xf numFmtId="180" fontId="12" fillId="0" borderId="0" xfId="0" applyNumberFormat="1" applyFont="1" applyFill="1" applyAlignment="1">
      <alignment horizontal="left" vertical="center"/>
    </xf>
    <xf numFmtId="0" fontId="13" fillId="0" borderId="0" xfId="0" applyFont="1" applyFill="1" applyAlignment="1">
      <alignment horizontal="left" vertical="center"/>
    </xf>
    <xf numFmtId="176" fontId="13" fillId="0" borderId="36" xfId="0" applyNumberFormat="1" applyFont="1" applyFill="1" applyBorder="1" applyAlignment="1">
      <alignment horizontal="left" vertical="center"/>
    </xf>
    <xf numFmtId="49" fontId="9" fillId="0" borderId="37" xfId="0" applyNumberFormat="1" applyFont="1" applyFill="1" applyBorder="1" applyAlignment="1">
      <alignment horizontal="center" vertical="center"/>
    </xf>
    <xf numFmtId="0" fontId="10" fillId="0" borderId="38" xfId="0" applyNumberFormat="1" applyFont="1" applyFill="1" applyBorder="1" applyAlignment="1">
      <alignment horizontal="left" vertical="center" wrapText="1"/>
    </xf>
    <xf numFmtId="0" fontId="10" fillId="0" borderId="39" xfId="0" applyNumberFormat="1" applyFont="1" applyFill="1" applyBorder="1" applyAlignment="1">
      <alignment horizontal="left" vertical="center" wrapText="1"/>
    </xf>
    <xf numFmtId="176" fontId="10" fillId="0" borderId="40" xfId="0" applyNumberFormat="1" applyFont="1" applyFill="1" applyBorder="1" applyAlignment="1">
      <alignment horizontal="left" vertical="center" wrapText="1"/>
    </xf>
    <xf numFmtId="49" fontId="14" fillId="0" borderId="0" xfId="0" applyNumberFormat="1" applyFont="1" applyFill="1" applyBorder="1" applyAlignment="1">
      <alignment vertical="center"/>
    </xf>
    <xf numFmtId="0" fontId="14" fillId="0" borderId="0" xfId="0" applyFont="1" applyFill="1" applyBorder="1" applyAlignment="1">
      <alignment vertical="center"/>
    </xf>
    <xf numFmtId="0" fontId="14" fillId="0" borderId="0" xfId="0" applyNumberFormat="1" applyFont="1" applyFill="1" applyBorder="1" applyAlignment="1">
      <alignment vertical="center" wrapText="1"/>
    </xf>
    <xf numFmtId="0" fontId="14" fillId="0" borderId="0" xfId="0" applyNumberFormat="1" applyFont="1" applyFill="1" applyBorder="1" applyAlignment="1">
      <alignment vertical="center"/>
    </xf>
    <xf numFmtId="176" fontId="14" fillId="0" borderId="0" xfId="0" applyNumberFormat="1" applyFont="1" applyFill="1" applyBorder="1" applyAlignment="1">
      <alignment vertical="center"/>
    </xf>
    <xf numFmtId="0" fontId="3" fillId="0" borderId="0" xfId="0" applyFont="1" applyFill="1" applyAlignment="1">
      <alignment vertical="center"/>
    </xf>
    <xf numFmtId="176" fontId="3" fillId="0" borderId="0" xfId="0" applyNumberFormat="1" applyFont="1" applyFill="1" applyAlignment="1">
      <alignment vertical="center"/>
    </xf>
    <xf numFmtId="0" fontId="0" fillId="0" borderId="0" xfId="0" applyFont="1" applyFill="1" applyAlignment="1">
      <alignment vertical="center"/>
    </xf>
    <xf numFmtId="0" fontId="0" fillId="0" borderId="0" xfId="0" applyFill="1" applyAlignment="1">
      <alignment vertical="center"/>
    </xf>
    <xf numFmtId="176" fontId="0" fillId="0" borderId="0" xfId="0" applyNumberForma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9">
    <dxf>
      <fill>
        <patternFill patternType="solid">
          <bgColor rgb="FFFF0000"/>
        </patternFill>
      </fill>
    </dxf>
    <dxf>
      <fill>
        <patternFill patternType="solid">
          <bgColor theme="5" tint="0.399700918607135"/>
        </patternFill>
      </fill>
    </dxf>
    <dxf>
      <fill>
        <patternFill patternType="solid">
          <bgColor theme="5" tint="0.799737540818506"/>
        </patternFill>
      </fill>
    </dxf>
    <dxf>
      <fill>
        <patternFill patternType="solid">
          <bgColor rgb="FF00B050"/>
        </patternFill>
      </fill>
    </dxf>
    <dxf>
      <fill>
        <patternFill patternType="solid">
          <bgColor rgb="FF92D050"/>
        </patternFill>
      </fill>
    </dxf>
    <dxf>
      <fill>
        <patternFill patternType="solid">
          <bgColor rgb="FFFFFF00"/>
        </patternFill>
      </fill>
    </dxf>
    <dxf>
      <fill>
        <patternFill patternType="solid">
          <bgColor theme="7" tint="0.599963377788629"/>
        </patternFill>
      </fill>
    </dxf>
    <dxf>
      <fill>
        <patternFill patternType="solid">
          <bgColor theme="5" tint="0.599963377788629"/>
        </patternFill>
      </fill>
    </dxf>
    <dxf>
      <fill>
        <patternFill patternType="solid">
          <bgColor rgb="FFF4B084"/>
        </patternFill>
      </fill>
    </dxf>
    <dxf>
      <fill>
        <patternFill patternType="solid">
          <bgColor rgb="FFFCE4D6"/>
        </patternFill>
      </fill>
    </dxf>
    <dxf>
      <fill>
        <patternFill patternType="solid">
          <bgColor rgb="FFFFE699"/>
        </patternFill>
      </fill>
    </dxf>
    <dxf>
      <fill>
        <patternFill patternType="solid">
          <bgColor rgb="FFF8CBAD"/>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xr9:uid="{267968C8-6FFD-4C36-ACC1-9EA1FD1885CA}">
      <tableStyleElement type="headerRow" dxfId="28"/>
      <tableStyleElement type="totalRow" dxfId="27"/>
      <tableStyleElement type="firstRowStripe" dxfId="26"/>
      <tableStyleElement type="firstColumnStripe" dxfId="25"/>
      <tableStyleElement type="firstSubtotalRow" dxfId="24"/>
      <tableStyleElement type="secondSubtotalRow" dxfId="23"/>
      <tableStyleElement type="firstRowSubheading" dxfId="22"/>
      <tableStyleElement type="secondRowSubheading" dxfId="21"/>
      <tableStyleElement type="pageFieldLabels" dxfId="20"/>
      <tableStyleElement type="pageFieldValues" dxfId="1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file:///D:\My Documents\Administrator\DESKTOP\&#21512;&#21516;&#21040;&#26399;&#32493;&#31614;&#33258;&#21160;&#25552;&#3726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7723合同"/>
      <sheetName val="点即玩"/>
      <sheetName val="灵犀指"/>
      <sheetName val="极光象限"/>
      <sheetName val="过期合同"/>
    </sheetNames>
    <sheetDataSet>
      <sheetData sheetId="0" refreshError="1">
        <row r="1">
          <cell r="A1" t="str">
            <v>合同到期自动提醒</v>
          </cell>
        </row>
        <row r="2">
          <cell r="B2" t="str">
            <v>合同到期提前报警天数:</v>
          </cell>
        </row>
        <row r="2">
          <cell r="D2">
            <v>30</v>
          </cell>
          <cell r="E2" t="str">
            <v>今天是：</v>
          </cell>
        </row>
        <row r="3">
          <cell r="A3" t="str">
            <v>公司名称</v>
          </cell>
          <cell r="B3" t="str">
            <v>合同名称</v>
          </cell>
          <cell r="C3" t="str">
            <v>编号</v>
          </cell>
          <cell r="D3" t="str">
            <v>签订合同
时间</v>
          </cell>
          <cell r="E3" t="str">
            <v>合同到期
时间</v>
          </cell>
        </row>
        <row r="4">
          <cell r="A4" t="str">
            <v>财付通支付科技有限公司</v>
          </cell>
          <cell r="B4" t="str">
            <v>H5支付申请承诺书</v>
          </cell>
          <cell r="C4" t="str">
            <v>XMBZ001</v>
          </cell>
          <cell r="D4">
            <v>42781</v>
          </cell>
          <cell r="E4" t="str">
            <v>/</v>
          </cell>
        </row>
        <row r="5">
          <cell r="A5" t="str">
            <v>炫彩互动网络科技有限公司</v>
          </cell>
          <cell r="B5" t="str">
            <v>炫彩互动网络科技有限公司与厦门巴掌互动科技有限公司好盟平台合作协议</v>
          </cell>
          <cell r="C5" t="str">
            <v>XMBZ005</v>
          </cell>
          <cell r="D5">
            <v>42880</v>
          </cell>
          <cell r="E5" t="str">
            <v>/</v>
          </cell>
        </row>
        <row r="6">
          <cell r="A6" t="str">
            <v>中文在线数字出版集团股份有限公司</v>
          </cell>
          <cell r="B6" t="str">
            <v>中文H5游戏合作运营协议</v>
          </cell>
          <cell r="C6" t="str">
            <v>XMBZ20180217</v>
          </cell>
          <cell r="D6">
            <v>43390</v>
          </cell>
          <cell r="E6">
            <v>44882</v>
          </cell>
        </row>
        <row r="7">
          <cell r="A7" t="str">
            <v>广州爱九游信息技术有限公司</v>
          </cell>
          <cell r="B7" t="str">
            <v>独家服务承诺书</v>
          </cell>
          <cell r="C7" t="str">
            <v>XMBZ2019004</v>
          </cell>
          <cell r="D7">
            <v>43551</v>
          </cell>
          <cell r="E7" t="str">
            <v>/</v>
          </cell>
        </row>
        <row r="8">
          <cell r="A8" t="str">
            <v>广州爱玩网络科技有限公司</v>
          </cell>
          <cell r="B8" t="str">
            <v>Android游戏SDK联运合作合同</v>
          </cell>
          <cell r="C8" t="str">
            <v>XMBZ2019008</v>
          </cell>
          <cell r="D8">
            <v>43814</v>
          </cell>
          <cell r="E8">
            <v>45991</v>
          </cell>
        </row>
        <row r="9">
          <cell r="A9" t="str">
            <v>有米科技股份有限公司</v>
          </cell>
          <cell r="B9" t="str">
            <v>有米云产品服务合同</v>
          </cell>
          <cell r="C9" t="str">
            <v>XMBZ2019012</v>
          </cell>
          <cell r="D9">
            <v>43580</v>
          </cell>
          <cell r="E9" t="str">
            <v>/</v>
          </cell>
        </row>
        <row r="10">
          <cell r="A10" t="str">
            <v>泉州越动网络科技有限公司</v>
          </cell>
          <cell r="B10" t="str">
            <v>Android游戏SDK联运合作合同</v>
          </cell>
          <cell r="C10" t="str">
            <v>XMBZ2019040</v>
          </cell>
          <cell r="D10">
            <v>44165</v>
          </cell>
          <cell r="E10" t="str">
            <v>2022/11/31</v>
          </cell>
        </row>
        <row r="11">
          <cell r="A11" t="str">
            <v>深圳市迷你玩科技有限公司</v>
          </cell>
          <cell r="B11" t="str">
            <v>线上渠道游戏推广合同</v>
          </cell>
          <cell r="C11" t="str">
            <v>XMBZ2019049</v>
          </cell>
          <cell r="D11">
            <v>43466</v>
          </cell>
          <cell r="E11">
            <v>44927</v>
          </cell>
        </row>
        <row r="12">
          <cell r="A12" t="str">
            <v>深圳市焱焱互娱科技有限公司</v>
          </cell>
          <cell r="B12" t="str">
            <v>Android游戏SDK联运合作合同+续签补充协议</v>
          </cell>
          <cell r="C12" t="str">
            <v>XMBZ2019062</v>
          </cell>
          <cell r="D12">
            <v>43567</v>
          </cell>
          <cell r="E12">
            <v>45758</v>
          </cell>
        </row>
        <row r="13">
          <cell r="A13" t="str">
            <v>厦门游佳互娱网络科技有限公司</v>
          </cell>
          <cell r="B13" t="str">
            <v>Android游戏SDK联运合作合同+主体变更协议+续签协议</v>
          </cell>
          <cell r="C13" t="str">
            <v>XMBZ2019080</v>
          </cell>
          <cell r="D13">
            <v>43758</v>
          </cell>
          <cell r="E13">
            <v>46315</v>
          </cell>
        </row>
        <row r="14">
          <cell r="A14" t="str">
            <v>上海靖堂网络科技有限公司</v>
          </cell>
          <cell r="B14" t="str">
            <v>Android游戏SDK联运合作合同</v>
          </cell>
          <cell r="C14" t="str">
            <v>XMBZ2019085</v>
          </cell>
          <cell r="D14">
            <v>43739</v>
          </cell>
          <cell r="E14">
            <v>46295</v>
          </cell>
        </row>
        <row r="15">
          <cell r="A15" t="str">
            <v>广州游龙互娱网络科技有限公司</v>
          </cell>
          <cell r="B15" t="str">
            <v>Android游戏SDK联运合作合同</v>
          </cell>
          <cell r="C15" t="str">
            <v>XMBZ2020039</v>
          </cell>
          <cell r="D15">
            <v>43922</v>
          </cell>
          <cell r="E15">
            <v>46112</v>
          </cell>
        </row>
        <row r="16">
          <cell r="A16" t="str">
            <v>广州小丑网络科技有限公司</v>
          </cell>
          <cell r="B16" t="str">
            <v>Android游戏SDK联运合作合同</v>
          </cell>
          <cell r="C16" t="str">
            <v>XMBZ2020046</v>
          </cell>
          <cell r="D16">
            <v>43952</v>
          </cell>
          <cell r="E16">
            <v>46266</v>
          </cell>
        </row>
        <row r="17">
          <cell r="A17" t="str">
            <v>广州穿山甲网络科技有限公司</v>
          </cell>
          <cell r="B17" t="str">
            <v>Android游戏SDK联运合作合同+合同续签协议</v>
          </cell>
          <cell r="C17" t="str">
            <v>XMBZ2020049</v>
          </cell>
          <cell r="D17">
            <v>43952</v>
          </cell>
          <cell r="E17">
            <v>46142</v>
          </cell>
        </row>
        <row r="18">
          <cell r="A18" t="str">
            <v>宿州远恒网络科技有限公司</v>
          </cell>
          <cell r="B18" t="str">
            <v>Android游戏SDK联运合作合同+补充协议+合同续签协议</v>
          </cell>
          <cell r="C18" t="str">
            <v>XMBZ2020076</v>
          </cell>
          <cell r="D18">
            <v>44044</v>
          </cell>
          <cell r="E18">
            <v>45869</v>
          </cell>
        </row>
        <row r="19">
          <cell r="A19" t="str">
            <v>宜宾欢聚游网络科技有限责任公司</v>
          </cell>
          <cell r="B19" t="str">
            <v>Android游戏SDK联运合作合同+续签合同+补充清单+主体变更协议</v>
          </cell>
          <cell r="C19" t="str">
            <v>XMBZ2020078</v>
          </cell>
          <cell r="D19">
            <v>44041</v>
          </cell>
          <cell r="E19">
            <v>46231</v>
          </cell>
        </row>
        <row r="20">
          <cell r="A20" t="str">
            <v>广州欢乐互动网络科技有限公司</v>
          </cell>
          <cell r="B20" t="str">
            <v>Android游戏SDK联运合作合同</v>
          </cell>
          <cell r="C20" t="str">
            <v>XMBZ2020095</v>
          </cell>
          <cell r="D20">
            <v>44045</v>
          </cell>
          <cell r="E20">
            <v>46600</v>
          </cell>
        </row>
        <row r="21">
          <cell r="A21" t="str">
            <v>海南神音网络科技有限公司</v>
          </cell>
          <cell r="B21" t="str">
            <v>Android游戏SDK联运合作合同</v>
          </cell>
          <cell r="C21" t="str">
            <v>XMBZ2020103</v>
          </cell>
          <cell r="D21">
            <v>44130</v>
          </cell>
          <cell r="E21">
            <v>45955</v>
          </cell>
        </row>
        <row r="22">
          <cell r="A22" t="str">
            <v>广州青蓝冰水科技有限公司</v>
          </cell>
          <cell r="B22" t="str">
            <v>Android游戏SDK联运合作合同</v>
          </cell>
          <cell r="C22" t="str">
            <v>XMBZ2020105</v>
          </cell>
          <cell r="D22">
            <v>44131</v>
          </cell>
          <cell r="E22">
            <v>46322</v>
          </cell>
        </row>
        <row r="23">
          <cell r="A23" t="str">
            <v>广州红鹤网络科技有限公司</v>
          </cell>
          <cell r="B23" t="str">
            <v>手机游戏授权推广运营合作协议+续签协议+合同变更补充协议+合同主体变更三方协议+合同变更补充协议（分成）</v>
          </cell>
          <cell r="C23" t="str">
            <v>XMBZ2021015</v>
          </cell>
          <cell r="D23">
            <v>44250</v>
          </cell>
          <cell r="E23">
            <v>46081</v>
          </cell>
        </row>
        <row r="24">
          <cell r="A24" t="str">
            <v>深圳市紫鲲互娱科技有限公司</v>
          </cell>
          <cell r="B24" t="str">
            <v>Android游戏SDK联运合作合同+合同续签协议</v>
          </cell>
          <cell r="C24" t="str">
            <v>XMBZ2021016</v>
          </cell>
          <cell r="D24">
            <v>44256</v>
          </cell>
          <cell r="E24">
            <v>46090</v>
          </cell>
        </row>
        <row r="25">
          <cell r="A25" t="str">
            <v>广州游龙互娱网络科技有限公司</v>
          </cell>
          <cell r="B25" t="str">
            <v>Android游戏SDK联运合作合同</v>
          </cell>
          <cell r="C25" t="str">
            <v>XMBZ2021017</v>
          </cell>
          <cell r="D25">
            <v>44287</v>
          </cell>
          <cell r="E25">
            <v>46112</v>
          </cell>
        </row>
        <row r="26">
          <cell r="A26" t="str">
            <v>海南游神网络科技有限公司</v>
          </cell>
          <cell r="B26" t="str">
            <v>Android游戏SDK联运合作合同+合同续签协议+合同续签协议</v>
          </cell>
          <cell r="C26" t="str">
            <v>XMBZ2021082</v>
          </cell>
          <cell r="D26">
            <v>44228</v>
          </cell>
          <cell r="E26">
            <v>46053</v>
          </cell>
        </row>
        <row r="27">
          <cell r="A27" t="str">
            <v>广州可悦信息科技有限公司</v>
          </cell>
          <cell r="B27" t="str">
            <v>Android游戏SDK联运合作合同+合同续签协议</v>
          </cell>
          <cell r="C27" t="str">
            <v>XMBZ2021104</v>
          </cell>
          <cell r="D27">
            <v>44362</v>
          </cell>
          <cell r="E27">
            <v>46187</v>
          </cell>
        </row>
        <row r="28">
          <cell r="A28" t="str">
            <v>深圳壹趣玩网络科技有限公司</v>
          </cell>
          <cell r="B28" t="str">
            <v>Android游戏SDK联运合作合同</v>
          </cell>
          <cell r="C28" t="str">
            <v>XMBZ2021126</v>
          </cell>
          <cell r="D28">
            <v>44428</v>
          </cell>
          <cell r="E28">
            <v>45888</v>
          </cell>
        </row>
        <row r="29">
          <cell r="A29" t="str">
            <v>海南三游网络科技有限公司</v>
          </cell>
          <cell r="B29" t="str">
            <v>Android游戏SDK联运合作合同+合同续签协议+合同主体三方变更协议</v>
          </cell>
          <cell r="C29" t="str">
            <v>XMBZ2021151</v>
          </cell>
          <cell r="D29">
            <v>44378</v>
          </cell>
          <cell r="E29">
            <v>46465</v>
          </cell>
        </row>
        <row r="30">
          <cell r="A30" t="str">
            <v>杭州骊龙网络科技有限公司</v>
          </cell>
          <cell r="B30" t="str">
            <v>Android游戏SDK联运合作合同</v>
          </cell>
          <cell r="C30" t="str">
            <v>XMBZ2021170</v>
          </cell>
          <cell r="D30">
            <v>44409</v>
          </cell>
          <cell r="E30">
            <v>46265</v>
          </cell>
        </row>
        <row r="31">
          <cell r="A31" t="str">
            <v>陕西绝峰易游网络科技有限公司</v>
          </cell>
          <cell r="B31" t="str">
            <v>Android游戏SDK联运合作合同</v>
          </cell>
          <cell r="C31" t="str">
            <v>XMBZ2021191</v>
          </cell>
          <cell r="D31">
            <v>44515</v>
          </cell>
          <cell r="E31">
            <v>46069</v>
          </cell>
        </row>
        <row r="32">
          <cell r="A32" t="str">
            <v>广州青蓝冰水科技有限公司</v>
          </cell>
          <cell r="B32" t="str">
            <v>Android游戏SDK联运合作合同</v>
          </cell>
          <cell r="C32" t="str">
            <v>XMBZ2021196</v>
          </cell>
          <cell r="D32">
            <v>44496</v>
          </cell>
          <cell r="E32">
            <v>46322</v>
          </cell>
        </row>
        <row r="33">
          <cell r="A33" t="str">
            <v>北京北纬通信科技股份有限公司</v>
          </cell>
          <cell r="B33" t="str">
            <v>信息服务合作框架协议+合作游戏清单（续期）</v>
          </cell>
          <cell r="C33" t="str">
            <v>XMBZ2021205</v>
          </cell>
          <cell r="D33">
            <v>44489</v>
          </cell>
          <cell r="E33">
            <v>45949</v>
          </cell>
        </row>
        <row r="34">
          <cell r="A34" t="str">
            <v>福州天盟数码科技有限公司</v>
          </cell>
          <cell r="B34" t="str">
            <v>服务外包协议</v>
          </cell>
          <cell r="C34" t="str">
            <v>XMBZ2021206</v>
          </cell>
          <cell r="D34">
            <v>44368</v>
          </cell>
          <cell r="E34" t="str">
            <v>/</v>
          </cell>
        </row>
        <row r="35">
          <cell r="A35" t="str">
            <v>浙江裙黑网络科技有限公司</v>
          </cell>
          <cell r="B35" t="str">
            <v>Android游戏SDK联运合作合同+合同续签协议</v>
          </cell>
          <cell r="C35" t="str">
            <v>XMBZ2021218</v>
          </cell>
          <cell r="D35">
            <v>44454</v>
          </cell>
          <cell r="E35">
            <v>45914</v>
          </cell>
        </row>
        <row r="36">
          <cell r="A36" t="str">
            <v>北京陆一捌网络科技有限公司</v>
          </cell>
          <cell r="B36" t="str">
            <v>Android游戏SDK联运合作合同</v>
          </cell>
          <cell r="C36" t="str">
            <v>XMBZ2021232</v>
          </cell>
          <cell r="D36">
            <v>44531</v>
          </cell>
          <cell r="E36">
            <v>46265</v>
          </cell>
        </row>
        <row r="37">
          <cell r="A37" t="str">
            <v>深圳市齐游科技有限公司</v>
          </cell>
          <cell r="B37" t="str">
            <v>Android游戏SDK联运合作合同+合同续签协议</v>
          </cell>
          <cell r="C37" t="str">
            <v>XMBZ2021236</v>
          </cell>
          <cell r="D37">
            <v>44554</v>
          </cell>
          <cell r="E37">
            <v>46014</v>
          </cell>
        </row>
        <row r="38">
          <cell r="A38" t="str">
            <v>山东君煜信息科技有限公司</v>
          </cell>
          <cell r="B38" t="str">
            <v>Android游戏SDK联运合作合同+合同主体变更三方协议</v>
          </cell>
          <cell r="C38" t="str">
            <v>XMBZ2021237</v>
          </cell>
          <cell r="D38">
            <v>44531</v>
          </cell>
          <cell r="E38">
            <v>45992</v>
          </cell>
        </row>
        <row r="39">
          <cell r="A39" t="str">
            <v>杭州非奇科技股份有限公司</v>
          </cell>
          <cell r="B39" t="str">
            <v>手游产品推广服务协议</v>
          </cell>
          <cell r="C39" t="str">
            <v>XMBZ2022006</v>
          </cell>
          <cell r="D39">
            <v>44599</v>
          </cell>
          <cell r="E39">
            <v>47620</v>
          </cell>
        </row>
        <row r="40">
          <cell r="A40" t="str">
            <v>深圳市娜迦互娱科技有限公司</v>
          </cell>
          <cell r="B40" t="str">
            <v>Android游戏SDK联运合作合同+合同续签协议</v>
          </cell>
          <cell r="C40" t="str">
            <v>XMBZ2022016</v>
          </cell>
          <cell r="D40">
            <v>44562</v>
          </cell>
          <cell r="E40">
            <v>46022</v>
          </cell>
        </row>
        <row r="41">
          <cell r="A41" t="str">
            <v>合肥乐堂动漫信息技术有限公司（旧)/安徽乐星数字创意有限公司（新）</v>
          </cell>
          <cell r="B41" t="str">
            <v>Android游戏SDK联运合作合同+主体变更协议</v>
          </cell>
          <cell r="C41" t="str">
            <v>XMBZ2022019</v>
          </cell>
          <cell r="D41">
            <v>44316</v>
          </cell>
          <cell r="E41">
            <v>46141</v>
          </cell>
        </row>
        <row r="42">
          <cell r="A42" t="str">
            <v>北京北纬通信科技股份有限公司</v>
          </cell>
          <cell r="B42" t="str">
            <v>游戏广告合作分成协议</v>
          </cell>
          <cell r="C42" t="str">
            <v>XMBZ2022033</v>
          </cell>
          <cell r="D42">
            <v>44489</v>
          </cell>
          <cell r="E42">
            <v>47775</v>
          </cell>
        </row>
        <row r="43">
          <cell r="A43" t="str">
            <v>深圳市星期天网络科技有限公司</v>
          </cell>
          <cell r="B43" t="str">
            <v>Android游戏SDK联运合作合同</v>
          </cell>
          <cell r="C43" t="str">
            <v>XMBZ2022035</v>
          </cell>
          <cell r="D43">
            <v>45107</v>
          </cell>
          <cell r="E43">
            <v>46202</v>
          </cell>
        </row>
        <row r="44">
          <cell r="A44" t="str">
            <v>海南日常网络科技有限公司</v>
          </cell>
          <cell r="B44" t="str">
            <v>游戏联合运营合作框架协议</v>
          </cell>
          <cell r="C44" t="str">
            <v>XMBZ2022044</v>
          </cell>
          <cell r="D44">
            <v>44621</v>
          </cell>
          <cell r="E44">
            <v>46752</v>
          </cell>
        </row>
        <row r="45">
          <cell r="A45" t="str">
            <v>成都可可兰信息科技有限公司</v>
          </cell>
          <cell r="B45" t="str">
            <v>Android游戏SDK联运合作合同</v>
          </cell>
          <cell r="C45" t="str">
            <v>XMBZ2022056</v>
          </cell>
          <cell r="D45">
            <v>44562</v>
          </cell>
          <cell r="E45">
            <v>46022</v>
          </cell>
        </row>
        <row r="46">
          <cell r="A46" t="str">
            <v>上海洛伯科技有限公司</v>
          </cell>
          <cell r="B46" t="str">
            <v>独家许可协议</v>
          </cell>
          <cell r="C46" t="str">
            <v>XMBZ2022064</v>
          </cell>
          <cell r="D46">
            <v>44752</v>
          </cell>
          <cell r="E46">
            <v>45847</v>
          </cell>
        </row>
        <row r="47">
          <cell r="A47" t="str">
            <v>上海敢客网络科技有限公司</v>
          </cell>
          <cell r="B47" t="str">
            <v>Android游戏SDK联运合作合同</v>
          </cell>
          <cell r="C47" t="str">
            <v>XMBZ2022066</v>
          </cell>
          <cell r="D47">
            <v>44775</v>
          </cell>
          <cell r="E47">
            <v>45870</v>
          </cell>
        </row>
        <row r="48">
          <cell r="A48" t="str">
            <v>辽宁快游网络科技有限公司</v>
          </cell>
          <cell r="B48" t="str">
            <v>Android游戏SDK联运合作合同</v>
          </cell>
          <cell r="C48" t="str">
            <v>XMBZ2022067</v>
          </cell>
          <cell r="D48">
            <v>44749</v>
          </cell>
          <cell r="E48">
            <v>45844</v>
          </cell>
        </row>
        <row r="49">
          <cell r="A49" t="str">
            <v>广州骏天网络科技有限公司</v>
          </cell>
          <cell r="B49" t="str">
            <v>Android游戏SDK联运合作合同</v>
          </cell>
          <cell r="C49" t="str">
            <v>XMBZ2022071</v>
          </cell>
          <cell r="D49">
            <v>44733</v>
          </cell>
          <cell r="E49">
            <v>45828</v>
          </cell>
        </row>
        <row r="50">
          <cell r="A50" t="str">
            <v>海南微米互娱网络科技有限公司</v>
          </cell>
          <cell r="B50" t="str">
            <v>Android游戏SDK联运合作合同</v>
          </cell>
          <cell r="C50" t="str">
            <v>XMBZ2022072</v>
          </cell>
          <cell r="D50">
            <v>44743</v>
          </cell>
          <cell r="E50">
            <v>45838</v>
          </cell>
        </row>
        <row r="51">
          <cell r="A51" t="str">
            <v>湖北盛天网络技术股份有限公司</v>
          </cell>
          <cell r="B51" t="str">
            <v>Android游戏SDK联运合作合同</v>
          </cell>
          <cell r="C51" t="str">
            <v>XMBZ2022075</v>
          </cell>
          <cell r="D51">
            <v>44652</v>
          </cell>
          <cell r="E51">
            <v>45838</v>
          </cell>
        </row>
        <row r="52">
          <cell r="A52" t="str">
            <v>陕西锄禾互娱网络科技有限公司</v>
          </cell>
          <cell r="B52" t="str">
            <v>Android游戏SDK联运合作合同</v>
          </cell>
          <cell r="C52" t="str">
            <v>XMBZ2022076</v>
          </cell>
          <cell r="D52">
            <v>44774</v>
          </cell>
          <cell r="E52">
            <v>45869</v>
          </cell>
        </row>
        <row r="53">
          <cell r="A53" t="str">
            <v>杭州怀湖网络科技有限公司</v>
          </cell>
          <cell r="B53" t="str">
            <v>Android游戏SDK联运合作合同</v>
          </cell>
          <cell r="C53" t="str">
            <v>XMBZ2022078</v>
          </cell>
          <cell r="D53">
            <v>44743</v>
          </cell>
          <cell r="E53">
            <v>45838</v>
          </cell>
        </row>
        <row r="54">
          <cell r="A54" t="str">
            <v>厦门灵犀指科技有限公司</v>
          </cell>
          <cell r="B54" t="str">
            <v>巴掌互动产品推广合作协议（CPS）</v>
          </cell>
          <cell r="C54" t="str">
            <v>XMBZ2022079</v>
          </cell>
          <cell r="D54">
            <v>44661</v>
          </cell>
          <cell r="E54">
            <v>45392</v>
          </cell>
        </row>
        <row r="55">
          <cell r="A55" t="str">
            <v>广州游爱网络技术有限公司</v>
          </cell>
          <cell r="B55" t="str">
            <v>H5游戏SDK联运合作合同</v>
          </cell>
          <cell r="C55" t="str">
            <v>XMBZ2022080</v>
          </cell>
          <cell r="D55">
            <v>44774</v>
          </cell>
          <cell r="E55">
            <v>45869</v>
          </cell>
        </row>
        <row r="56">
          <cell r="A56" t="str">
            <v>锦州喵玩网络科技有限公司</v>
          </cell>
          <cell r="B56" t="str">
            <v>Android游戏SDK联运合作合同+合同主体变更三方协议</v>
          </cell>
          <cell r="C56" t="str">
            <v>XMBZ2022081</v>
          </cell>
          <cell r="D56">
            <v>44775</v>
          </cell>
          <cell r="E56">
            <v>45870</v>
          </cell>
        </row>
        <row r="57">
          <cell r="A57" t="str">
            <v>广州久悦网络科技有限公司</v>
          </cell>
          <cell r="B57" t="str">
            <v>Android游戏SDK联运合作合同</v>
          </cell>
          <cell r="C57" t="str">
            <v>XMBZ2022082</v>
          </cell>
          <cell r="D57">
            <v>44747</v>
          </cell>
          <cell r="E57">
            <v>45842</v>
          </cell>
        </row>
        <row r="58">
          <cell r="A58" t="str">
            <v>西安绿河智谷网络科技有限公司</v>
          </cell>
          <cell r="B58" t="str">
            <v>独家许可协议</v>
          </cell>
          <cell r="C58" t="str">
            <v>XMBZ2022083</v>
          </cell>
          <cell r="D58">
            <v>44781</v>
          </cell>
          <cell r="E58">
            <v>46607</v>
          </cell>
        </row>
        <row r="59">
          <cell r="A59" t="str">
            <v>北京嚼指兄弟网络科技有限公司</v>
          </cell>
          <cell r="B59" t="str">
            <v>巴掌互动产品推广合作协议（CPS）</v>
          </cell>
          <cell r="C59" t="str">
            <v>XMBZ2022084</v>
          </cell>
          <cell r="D59">
            <v>44562</v>
          </cell>
          <cell r="E59">
            <v>45657</v>
          </cell>
        </row>
        <row r="60">
          <cell r="A60" t="str">
            <v>上海欧皇网络科技有限公司</v>
          </cell>
          <cell r="B60" t="str">
            <v>巴掌互动产品推广合作协议（CPS）</v>
          </cell>
          <cell r="C60" t="str">
            <v>XMBZ2022085</v>
          </cell>
          <cell r="D60">
            <v>44650</v>
          </cell>
          <cell r="E60">
            <v>45746</v>
          </cell>
        </row>
        <row r="61">
          <cell r="A61" t="str">
            <v>深圳市益欣网络科技有限公司</v>
          </cell>
          <cell r="B61" t="str">
            <v>巴掌互动产品推广合作协议（CPS）</v>
          </cell>
          <cell r="C61" t="str">
            <v>XMBZ2022087</v>
          </cell>
          <cell r="D61">
            <v>44803</v>
          </cell>
          <cell r="E61">
            <v>45898</v>
          </cell>
        </row>
        <row r="62">
          <cell r="A62" t="str">
            <v>陕西涂牛网络科技有限公司</v>
          </cell>
          <cell r="B62" t="str">
            <v>Android游戏SDK联运合作合同+合同主体变更协议</v>
          </cell>
          <cell r="C62" t="str">
            <v>XMBZ2022088</v>
          </cell>
          <cell r="D62">
            <v>44805</v>
          </cell>
          <cell r="E62">
            <v>45900</v>
          </cell>
        </row>
        <row r="63">
          <cell r="A63" t="str">
            <v>福建超神网络科技有限公司</v>
          </cell>
          <cell r="B63" t="str">
            <v>业务框架合作协议</v>
          </cell>
          <cell r="C63" t="str">
            <v>XMBZ2022089</v>
          </cell>
          <cell r="D63">
            <v>44713</v>
          </cell>
          <cell r="E63">
            <v>45412</v>
          </cell>
        </row>
        <row r="64">
          <cell r="A64" t="str">
            <v>上海莉莉丝网络科技有限公司</v>
          </cell>
          <cell r="B64" t="str">
            <v>网络信息服务框架合同+补充协议（一）</v>
          </cell>
          <cell r="C64" t="str">
            <v>XMBZ2022090</v>
          </cell>
          <cell r="D64">
            <v>44793</v>
          </cell>
          <cell r="E64" t="str">
            <v>/</v>
          </cell>
        </row>
        <row r="65">
          <cell r="A65" t="str">
            <v>海南嘿嘿科技有限公司</v>
          </cell>
          <cell r="B65" t="str">
            <v>巴掌互动产品推广合作协议（CPS）</v>
          </cell>
          <cell r="C65" t="str">
            <v>XMBZ2022091</v>
          </cell>
          <cell r="D65">
            <v>44762</v>
          </cell>
          <cell r="E65">
            <v>45858</v>
          </cell>
        </row>
        <row r="66">
          <cell r="A66" t="str">
            <v>龙岩玖宝网络科技有限公司</v>
          </cell>
          <cell r="B66" t="str">
            <v>Android游戏SDK联运合作合同</v>
          </cell>
          <cell r="C66" t="str">
            <v>XMBZ2022092</v>
          </cell>
          <cell r="D66">
            <v>44817</v>
          </cell>
          <cell r="E66">
            <v>45912</v>
          </cell>
        </row>
        <row r="67">
          <cell r="A67" t="str">
            <v>深圳市小竞科技有限公司</v>
          </cell>
          <cell r="B67" t="str">
            <v>巴掌互动产品推广合作协议（CPS）</v>
          </cell>
          <cell r="C67" t="str">
            <v>XMBZ2022093</v>
          </cell>
          <cell r="D67">
            <v>44826</v>
          </cell>
          <cell r="E67">
            <v>45922</v>
          </cell>
        </row>
        <row r="68">
          <cell r="A68" t="str">
            <v>厦门铠甲网络股份有限公司</v>
          </cell>
          <cell r="B68" t="str">
            <v>巴掌互动产品推广合作协议（CPS）</v>
          </cell>
          <cell r="C68" t="str">
            <v>XMBZ2022094</v>
          </cell>
          <cell r="D68">
            <v>44728</v>
          </cell>
          <cell r="E68">
            <v>45092</v>
          </cell>
        </row>
        <row r="69">
          <cell r="A69" t="str">
            <v>深圳市大臣科技有限公司</v>
          </cell>
          <cell r="B69" t="str">
            <v>续签协议+续签协议二</v>
          </cell>
          <cell r="C69" t="str">
            <v>XMBZ2022095</v>
          </cell>
          <cell r="D69">
            <v>44608</v>
          </cell>
          <cell r="E69">
            <v>46069</v>
          </cell>
        </row>
        <row r="70">
          <cell r="A70" t="str">
            <v>锦州方舟网络科技有限公司</v>
          </cell>
          <cell r="B70" t="str">
            <v>Android游戏SDK联运合作合同</v>
          </cell>
          <cell r="C70" t="str">
            <v>XMBZ2022097</v>
          </cell>
          <cell r="D70">
            <v>44824</v>
          </cell>
          <cell r="E70">
            <v>45919</v>
          </cell>
        </row>
        <row r="71">
          <cell r="A71" t="str">
            <v>上海二三四五网络科技有限公司</v>
          </cell>
          <cell r="B71" t="str">
            <v>游戏运营合作框架协议+续签协议</v>
          </cell>
          <cell r="C71" t="str">
            <v>XMBZ2022098</v>
          </cell>
          <cell r="D71">
            <v>44823</v>
          </cell>
          <cell r="E71">
            <v>45918</v>
          </cell>
        </row>
        <row r="72">
          <cell r="A72" t="str">
            <v>南昌枇乐科技有限公司</v>
          </cell>
          <cell r="B72" t="str">
            <v>合同主体变更三方协议</v>
          </cell>
          <cell r="C72" t="str">
            <v>XMBZ2022099</v>
          </cell>
          <cell r="D72">
            <v>44805</v>
          </cell>
          <cell r="E72">
            <v>45901</v>
          </cell>
        </row>
        <row r="73">
          <cell r="A73" t="str">
            <v>湖北乐刻互动网络科技有限公司</v>
          </cell>
          <cell r="B73" t="str">
            <v>Android游戏SDK联运合作合同+续签协议</v>
          </cell>
          <cell r="C73" t="str">
            <v>XMBZ2022102</v>
          </cell>
          <cell r="D73">
            <v>44803</v>
          </cell>
          <cell r="E73">
            <v>45898</v>
          </cell>
        </row>
        <row r="74">
          <cell r="A74" t="str">
            <v>上海靖堂网络科技有限公司</v>
          </cell>
          <cell r="B74" t="str">
            <v>合同续签协议+合同续签协议</v>
          </cell>
          <cell r="C74" t="str">
            <v>XMBZ2022105</v>
          </cell>
          <cell r="D74">
            <v>43739</v>
          </cell>
          <cell r="E74">
            <v>46295</v>
          </cell>
        </row>
        <row r="75">
          <cell r="A75" t="str">
            <v>湖南易统网络科技有限公司</v>
          </cell>
          <cell r="B75" t="str">
            <v>Android游戏SDK联运合作合同</v>
          </cell>
          <cell r="C75" t="str">
            <v>XMBZ2022109</v>
          </cell>
          <cell r="D75">
            <v>44852</v>
          </cell>
          <cell r="E75">
            <v>45947</v>
          </cell>
        </row>
        <row r="76">
          <cell r="A76" t="str">
            <v>深圳市小黑龙网络科技有限公司</v>
          </cell>
          <cell r="B76" t="str">
            <v>Android游戏SDK联运合作合同</v>
          </cell>
          <cell r="C76" t="str">
            <v>XMBZ2022111</v>
          </cell>
          <cell r="D76">
            <v>44858</v>
          </cell>
          <cell r="E76">
            <v>45954</v>
          </cell>
        </row>
        <row r="77">
          <cell r="A77" t="str">
            <v>上海红花会信息科技有限公司</v>
          </cell>
          <cell r="B77" t="str">
            <v>巴掌互动产品推广合作协议（CPS）</v>
          </cell>
          <cell r="C77" t="str">
            <v>XMBZ2022112</v>
          </cell>
          <cell r="D77">
            <v>44867</v>
          </cell>
          <cell r="E77">
            <v>45962</v>
          </cell>
        </row>
        <row r="78">
          <cell r="A78" t="str">
            <v>成都犇赢互娱科技有限公司</v>
          </cell>
          <cell r="B78" t="str">
            <v>Android游戏SDK联运合作合同</v>
          </cell>
          <cell r="C78" t="str">
            <v>XMBZ2022113</v>
          </cell>
          <cell r="D78">
            <v>44873</v>
          </cell>
          <cell r="E78">
            <v>46282</v>
          </cell>
        </row>
        <row r="79">
          <cell r="A79" t="str">
            <v>浙江祈点网络科技有限公司</v>
          </cell>
          <cell r="B79" t="str">
            <v>Android游戏SDK联运合作合同</v>
          </cell>
          <cell r="C79" t="str">
            <v>XMBZ2022116</v>
          </cell>
          <cell r="D79">
            <v>44874</v>
          </cell>
          <cell r="E79">
            <v>45969</v>
          </cell>
        </row>
        <row r="80">
          <cell r="A80" t="str">
            <v>黑龙江省华厦亿达信息科技有限公司</v>
          </cell>
          <cell r="B80" t="str">
            <v>Android游戏SDK联运合作合同</v>
          </cell>
          <cell r="C80" t="str">
            <v>XMBZ2022120</v>
          </cell>
          <cell r="D80">
            <v>44438</v>
          </cell>
          <cell r="E80">
            <v>45898</v>
          </cell>
        </row>
        <row r="81">
          <cell r="A81" t="str">
            <v>北京阿特瑞科技发展有限公司</v>
          </cell>
          <cell r="B81" t="str">
            <v>Android游戏SDK联运合作合同</v>
          </cell>
          <cell r="C81" t="str">
            <v>XMBZ2022123</v>
          </cell>
          <cell r="D81">
            <v>44866</v>
          </cell>
          <cell r="E81">
            <v>45961</v>
          </cell>
        </row>
        <row r="82">
          <cell r="A82" t="str">
            <v>深圳壹趣玩网络科技有限公司</v>
          </cell>
          <cell r="B82" t="str">
            <v>Android游戏SDK联运合作合同</v>
          </cell>
          <cell r="C82" t="str">
            <v>XMBZ2022127</v>
          </cell>
          <cell r="D82">
            <v>44428</v>
          </cell>
          <cell r="E82">
            <v>45888</v>
          </cell>
        </row>
        <row r="83">
          <cell r="A83" t="str">
            <v>江阴市宇腾网络科技有限公司</v>
          </cell>
          <cell r="B83" t="str">
            <v>Android游戏SDK联运合作合同</v>
          </cell>
          <cell r="C83" t="str">
            <v>XMBZ2022132</v>
          </cell>
          <cell r="D83">
            <v>44903</v>
          </cell>
          <cell r="E83">
            <v>45998</v>
          </cell>
        </row>
        <row r="84">
          <cell r="A84" t="str">
            <v>来吧科技（海南）有限公司</v>
          </cell>
          <cell r="B84" t="str">
            <v>Android游戏SDK联运合作合同</v>
          </cell>
          <cell r="C84" t="str">
            <v>XMBZ2023001</v>
          </cell>
          <cell r="D84">
            <v>44927</v>
          </cell>
          <cell r="E84">
            <v>45656</v>
          </cell>
        </row>
        <row r="85">
          <cell r="A85" t="str">
            <v>海南大道天相科技有限公司</v>
          </cell>
          <cell r="B85" t="str">
            <v>产品推广合作协议</v>
          </cell>
          <cell r="C85" t="str">
            <v>XMBZ2023003</v>
          </cell>
          <cell r="D85">
            <v>44935</v>
          </cell>
          <cell r="E85">
            <v>45657</v>
          </cell>
        </row>
        <row r="86">
          <cell r="A86" t="str">
            <v>渠县海启科技有限公司</v>
          </cell>
          <cell r="B86" t="str">
            <v>续签协议书</v>
          </cell>
          <cell r="C86" t="str">
            <v>XMBZ2023004</v>
          </cell>
          <cell r="D86">
            <v>44967</v>
          </cell>
          <cell r="E86">
            <v>45332</v>
          </cell>
        </row>
        <row r="87">
          <cell r="A87" t="str">
            <v>咪咕互动娱乐有限公司</v>
          </cell>
          <cell r="B87" t="str">
            <v>《火柴人战争》游戏产品引入合作协议</v>
          </cell>
          <cell r="C87" t="str">
            <v>XMBZ2023005</v>
          </cell>
          <cell r="D87">
            <v>44984</v>
          </cell>
          <cell r="E87">
            <v>45715</v>
          </cell>
        </row>
        <row r="88">
          <cell r="A88" t="str">
            <v>四川速宝网络科技有限公司</v>
          </cell>
          <cell r="B88" t="str">
            <v>迅游手游加速器定价采量推广协议</v>
          </cell>
          <cell r="C88" t="str">
            <v>XMBZ2023006</v>
          </cell>
          <cell r="D88">
            <v>44866</v>
          </cell>
          <cell r="E88">
            <v>45231</v>
          </cell>
        </row>
        <row r="89">
          <cell r="A89" t="str">
            <v>上海米哈游影铁科技有限公司</v>
          </cell>
          <cell r="B89" t="str">
            <v>信息推广服务框架合同</v>
          </cell>
          <cell r="C89" t="str">
            <v>XMBZ2023007</v>
          </cell>
          <cell r="D89">
            <v>44927</v>
          </cell>
          <cell r="E89">
            <v>45658</v>
          </cell>
        </row>
        <row r="90">
          <cell r="A90" t="str">
            <v>深圳市创梦天地科技有限公司</v>
          </cell>
          <cell r="B90" t="str">
            <v>线上渠道游戏推广合同+和解协议（一）、（二）</v>
          </cell>
          <cell r="C90" t="str">
            <v>XMBZ2023008</v>
          </cell>
          <cell r="D90">
            <v>44562</v>
          </cell>
          <cell r="E90">
            <v>45292</v>
          </cell>
        </row>
        <row r="91">
          <cell r="A91" t="str">
            <v>深圳市拇指游玩科技有限公司</v>
          </cell>
          <cell r="B91" t="str">
            <v>Android游戏SDK联运合作合同</v>
          </cell>
          <cell r="C91" t="str">
            <v>XMBZ2023009</v>
          </cell>
          <cell r="D91">
            <v>44915</v>
          </cell>
          <cell r="E91">
            <v>45900</v>
          </cell>
        </row>
        <row r="92">
          <cell r="A92" t="str">
            <v>北京伟兴时讯科技有限公司</v>
          </cell>
          <cell r="B92" t="str">
            <v>信息服务合同</v>
          </cell>
          <cell r="C92" t="str">
            <v>XMBZ2023010</v>
          </cell>
          <cell r="D92">
            <v>44774</v>
          </cell>
          <cell r="E92">
            <v>45291</v>
          </cell>
        </row>
        <row r="93">
          <cell r="A93" t="str">
            <v>深圳市盛游互娱科技有限公司</v>
          </cell>
          <cell r="B93" t="str">
            <v>合同续签协议</v>
          </cell>
          <cell r="C93" t="str">
            <v>XMBZ2023011</v>
          </cell>
          <cell r="D93">
            <v>44957</v>
          </cell>
          <cell r="E93">
            <v>45688</v>
          </cell>
        </row>
        <row r="94">
          <cell r="A94" t="str">
            <v>重庆乐豆游软件科技中心</v>
          </cell>
          <cell r="B94" t="str">
            <v>巴掌互动产品推广合作协议（CPS）</v>
          </cell>
          <cell r="C94" t="str">
            <v>XMBZ2023012</v>
          </cell>
          <cell r="D94">
            <v>44986</v>
          </cell>
          <cell r="E94">
            <v>45350</v>
          </cell>
        </row>
        <row r="95">
          <cell r="A95" t="str">
            <v>成都双晨科技有限公司</v>
          </cell>
          <cell r="B95" t="str">
            <v>产品推广合作协议（CPS）之补充协议</v>
          </cell>
          <cell r="C95" t="str">
            <v>XMBZ2023013</v>
          </cell>
          <cell r="D95">
            <v>44774</v>
          </cell>
          <cell r="E95">
            <v>45392</v>
          </cell>
        </row>
        <row r="96">
          <cell r="A96" t="str">
            <v>浙江游码网络科技有限公司</v>
          </cell>
          <cell r="B96" t="str">
            <v>合作机构反舞弊反商业贿赂协议</v>
          </cell>
          <cell r="C96" t="str">
            <v>XMBZ2023014</v>
          </cell>
          <cell r="D96">
            <v>44927</v>
          </cell>
          <cell r="E96" t="str">
            <v>长期有效</v>
          </cell>
        </row>
        <row r="97">
          <cell r="A97" t="str">
            <v>深圳全游互娱科技有限公司</v>
          </cell>
          <cell r="B97" t="str">
            <v>_Android游戏SDK联运合作合同</v>
          </cell>
          <cell r="C97" t="str">
            <v>XMBZ2023015</v>
          </cell>
          <cell r="D97">
            <v>44409</v>
          </cell>
          <cell r="E97">
            <v>45504</v>
          </cell>
        </row>
        <row r="98">
          <cell r="A98" t="str">
            <v>乐元素科技（北京）股份有限公司</v>
          </cell>
          <cell r="B98" t="str">
            <v>游戏推广合作协议</v>
          </cell>
          <cell r="C98" t="str">
            <v>XMBZ2023016</v>
          </cell>
          <cell r="D98">
            <v>44958</v>
          </cell>
          <cell r="E98">
            <v>45688</v>
          </cell>
        </row>
        <row r="99">
          <cell r="A99" t="str">
            <v>深圳市盛游互娱科技有限公司</v>
          </cell>
          <cell r="B99" t="str">
            <v>合同主体变更三方协议</v>
          </cell>
          <cell r="C99" t="str">
            <v>XMBZ2023017</v>
          </cell>
          <cell r="D99">
            <v>44927</v>
          </cell>
          <cell r="E99">
            <v>45291</v>
          </cell>
        </row>
        <row r="100">
          <cell r="A100" t="str">
            <v>上海指间游网络科技有限公司</v>
          </cell>
          <cell r="B100" t="str">
            <v>合同主体变更三方协议</v>
          </cell>
          <cell r="C100" t="str">
            <v>XMBZ2023018</v>
          </cell>
          <cell r="D100">
            <v>44958</v>
          </cell>
          <cell r="E100">
            <v>45322</v>
          </cell>
        </row>
        <row r="101">
          <cell r="A101" t="str">
            <v>上海简玩网络科技有限公司</v>
          </cell>
          <cell r="B101" t="str">
            <v>合同续签协议</v>
          </cell>
          <cell r="C101" t="str">
            <v>XMBZ2023020</v>
          </cell>
          <cell r="D101">
            <v>44984</v>
          </cell>
          <cell r="E101">
            <v>45649</v>
          </cell>
        </row>
        <row r="102">
          <cell r="A102" t="str">
            <v>昆山明帆信息科技有限公司</v>
          </cell>
          <cell r="B102" t="str">
            <v>产品推广合作协议（CPS）</v>
          </cell>
          <cell r="C102" t="str">
            <v>XMBZ2023021</v>
          </cell>
          <cell r="D102">
            <v>44958</v>
          </cell>
          <cell r="E102">
            <v>46053</v>
          </cell>
        </row>
        <row r="103">
          <cell r="A103" t="str">
            <v>武汉中尚晖跃网络科技有限公司</v>
          </cell>
          <cell r="B103" t="str">
            <v>合同主体变更三方协议</v>
          </cell>
          <cell r="C103" t="str">
            <v>XMBZ2023022</v>
          </cell>
          <cell r="D103">
            <v>44896</v>
          </cell>
          <cell r="E103">
            <v>46247</v>
          </cell>
        </row>
        <row r="104">
          <cell r="A104" t="str">
            <v>杭州优量汇科技文化有限公司</v>
          </cell>
          <cell r="B104" t="str">
            <v>推广合作协议</v>
          </cell>
          <cell r="C104" t="str">
            <v>XMBZ2023023</v>
          </cell>
          <cell r="D104">
            <v>44915</v>
          </cell>
          <cell r="E104">
            <v>45279</v>
          </cell>
        </row>
        <row r="105">
          <cell r="A105" t="str">
            <v>北京比特漫步科技有限公司</v>
          </cell>
          <cell r="B105" t="str">
            <v>7723&amp;ohayoo合作协议</v>
          </cell>
          <cell r="C105" t="str">
            <v>XMBZ2023024</v>
          </cell>
          <cell r="D105">
            <v>44995</v>
          </cell>
          <cell r="E105">
            <v>45649</v>
          </cell>
        </row>
        <row r="106">
          <cell r="A106" t="str">
            <v>成都谊睿拓信息技术有限公司</v>
          </cell>
          <cell r="B106" t="str">
            <v>Android游戏SDK联运合作合同</v>
          </cell>
          <cell r="C106" t="str">
            <v>XMBZ2023025</v>
          </cell>
          <cell r="D106">
            <v>44844</v>
          </cell>
          <cell r="E106">
            <v>45939</v>
          </cell>
        </row>
        <row r="107">
          <cell r="A107" t="str">
            <v>上海巨人统平网络科技有限公司</v>
          </cell>
          <cell r="B107" t="str">
            <v>CPS游戏推广合作协议+补充协议+补充协议+合同补充协议（续签至2025年底）</v>
          </cell>
          <cell r="C107" t="str">
            <v>XMBZ2023026</v>
          </cell>
          <cell r="D107">
            <v>44999</v>
          </cell>
          <cell r="E107">
            <v>46022</v>
          </cell>
        </row>
        <row r="108">
          <cell r="A108" t="str">
            <v>宿州手游互动信息技术有限公司</v>
          </cell>
          <cell r="B108" t="str">
            <v>Android游戏SDK联运合作合同</v>
          </cell>
          <cell r="C108" t="str">
            <v>XMBZ2023028</v>
          </cell>
          <cell r="D108">
            <v>44986</v>
          </cell>
          <cell r="E108">
            <v>46446</v>
          </cell>
        </row>
        <row r="109">
          <cell r="A109" t="str">
            <v>广州叁游网络科技有限公司</v>
          </cell>
          <cell r="B109" t="str">
            <v>Android游戏SDK联运合作合同+主体变更协议</v>
          </cell>
          <cell r="C109" t="str">
            <v>XMBZ2023029</v>
          </cell>
          <cell r="D109">
            <v>44531</v>
          </cell>
          <cell r="E109">
            <v>46753</v>
          </cell>
        </row>
        <row r="110">
          <cell r="A110" t="str">
            <v>深圳市前海创梦科技有限公司</v>
          </cell>
          <cell r="B110" t="str">
            <v>渠道广告分成合作协议+广告信息服务单</v>
          </cell>
          <cell r="C110" t="str">
            <v>XMBZ2023030</v>
          </cell>
          <cell r="D110">
            <v>45017</v>
          </cell>
          <cell r="E110">
            <v>45748</v>
          </cell>
        </row>
        <row r="111">
          <cell r="A111" t="str">
            <v>北京聚优量科技有限公司</v>
          </cell>
          <cell r="B111" t="str">
            <v>推广合作协议</v>
          </cell>
          <cell r="C111" t="str">
            <v>XMBZ2023031</v>
          </cell>
          <cell r="D111">
            <v>44958</v>
          </cell>
          <cell r="E111">
            <v>45322</v>
          </cell>
        </row>
        <row r="112">
          <cell r="A112" t="str">
            <v>广州爱玩网络科技有限公司</v>
          </cell>
          <cell r="B112" t="str">
            <v>Android游戏SDK联运合作合同</v>
          </cell>
          <cell r="C112" t="str">
            <v>XMBZ2023032</v>
          </cell>
          <cell r="D112">
            <v>44896</v>
          </cell>
          <cell r="E112">
            <v>45991</v>
          </cell>
        </row>
        <row r="113">
          <cell r="A113" t="str">
            <v>上海研漾数字科技有限公司</v>
          </cell>
          <cell r="B113" t="str">
            <v>推广合作协议</v>
          </cell>
          <cell r="C113" t="str">
            <v>XMBZ2023033</v>
          </cell>
          <cell r="D113">
            <v>45030</v>
          </cell>
          <cell r="E113">
            <v>45395</v>
          </cell>
        </row>
        <row r="114">
          <cell r="A114" t="str">
            <v>广州启航互娱网络科技有限公司</v>
          </cell>
          <cell r="B114" t="str">
            <v>Android游戏SDK联运合作合同</v>
          </cell>
          <cell r="C114" t="str">
            <v>XMBZ2023034</v>
          </cell>
          <cell r="D114">
            <v>44835</v>
          </cell>
          <cell r="E114">
            <v>45930</v>
          </cell>
        </row>
        <row r="115">
          <cell r="A115" t="str">
            <v>上海棠游网络科技有限公司</v>
          </cell>
          <cell r="B115" t="str">
            <v>Android游戏SDK联运合作合同</v>
          </cell>
          <cell r="C115" t="str">
            <v>XMBZ2023035</v>
          </cell>
          <cell r="D115">
            <v>45017</v>
          </cell>
          <cell r="E115">
            <v>46113</v>
          </cell>
        </row>
        <row r="116">
          <cell r="A116" t="str">
            <v>海南启动互娱网络科技有限公司</v>
          </cell>
          <cell r="B116" t="str">
            <v>Android游戏SDK联运合作合同</v>
          </cell>
          <cell r="C116" t="str">
            <v>XMBZ2023036</v>
          </cell>
          <cell r="D116">
            <v>44969</v>
          </cell>
          <cell r="E116">
            <v>46064</v>
          </cell>
        </row>
        <row r="117">
          <cell r="A117" t="str">
            <v>北京虹宇信泰科技有限公司</v>
          </cell>
          <cell r="B117" t="str">
            <v>推广合作协议</v>
          </cell>
          <cell r="C117" t="str">
            <v>XMBZ2023037</v>
          </cell>
          <cell r="D117">
            <v>44932</v>
          </cell>
          <cell r="E117">
            <v>45296</v>
          </cell>
        </row>
        <row r="118">
          <cell r="A118" t="str">
            <v>深圳市享玩互愉网络科技有限公司</v>
          </cell>
          <cell r="B118" t="str">
            <v>Android游戏SDK联运合作合同</v>
          </cell>
          <cell r="C118" t="str">
            <v>XMBZ2023038</v>
          </cell>
          <cell r="D118">
            <v>45033</v>
          </cell>
          <cell r="E118">
            <v>46493</v>
          </cell>
        </row>
        <row r="119">
          <cell r="A119" t="str">
            <v>上海卓安信息科技有限公司</v>
          </cell>
          <cell r="B119" t="str">
            <v>推广合作协议</v>
          </cell>
          <cell r="C119" t="str">
            <v>XMBZ2023039</v>
          </cell>
          <cell r="D119">
            <v>45033</v>
          </cell>
          <cell r="E119">
            <v>46022</v>
          </cell>
        </row>
        <row r="120">
          <cell r="A120" t="str">
            <v>北京陆一捌网络科技有限公司</v>
          </cell>
          <cell r="B120" t="str">
            <v>Android游戏SDK联运合作合同</v>
          </cell>
          <cell r="C120" t="str">
            <v>XMBZ2023040</v>
          </cell>
          <cell r="D120">
            <v>44805</v>
          </cell>
          <cell r="E120">
            <v>46265</v>
          </cell>
        </row>
        <row r="121">
          <cell r="A121" t="str">
            <v>上海乐慧游易信息技术有限公司</v>
          </cell>
          <cell r="B121" t="str">
            <v>Android游戏SDK联运合作合同</v>
          </cell>
          <cell r="C121" t="str">
            <v>XMBZ2023041</v>
          </cell>
          <cell r="D121">
            <v>45041</v>
          </cell>
          <cell r="E121">
            <v>46136</v>
          </cell>
        </row>
        <row r="122">
          <cell r="A122" t="str">
            <v>北京开瑞天成科技有限公司</v>
          </cell>
          <cell r="B122" t="str">
            <v>推广合作协议</v>
          </cell>
          <cell r="C122" t="str">
            <v>XMBZ2023042</v>
          </cell>
          <cell r="D122">
            <v>45016</v>
          </cell>
          <cell r="E122">
            <v>45381</v>
          </cell>
        </row>
        <row r="123">
          <cell r="A123" t="str">
            <v>上海趣朗网络科技有限公司</v>
          </cell>
          <cell r="B123" t="str">
            <v>《CPS信息技术服务框架协议》主体变更补充协议</v>
          </cell>
          <cell r="C123" t="str">
            <v>XMBZ2023043</v>
          </cell>
          <cell r="D123">
            <v>44805</v>
          </cell>
          <cell r="E123">
            <v>45838</v>
          </cell>
        </row>
        <row r="124">
          <cell r="A124" t="str">
            <v>厦门简创网络科技有限公司</v>
          </cell>
          <cell r="B124" t="str">
            <v>《火柴人模拟沙盒》独家许可协议</v>
          </cell>
          <cell r="C124" t="str">
            <v>XMBZ2023045</v>
          </cell>
          <cell r="D124">
            <v>45005</v>
          </cell>
          <cell r="E124">
            <v>45735</v>
          </cell>
        </row>
        <row r="125">
          <cell r="A125" t="str">
            <v>海南盈泰网络技术有限公司</v>
          </cell>
          <cell r="B125" t="str">
            <v>产品推广合作协议</v>
          </cell>
          <cell r="C125" t="str">
            <v>XMBZ2023046</v>
          </cell>
          <cell r="D125">
            <v>44935</v>
          </cell>
          <cell r="E125">
            <v>45291</v>
          </cell>
        </row>
        <row r="126">
          <cell r="A126" t="str">
            <v>广州够玩网络科技有限公司</v>
          </cell>
          <cell r="B126" t="str">
            <v>推广合作协议</v>
          </cell>
          <cell r="C126" t="str">
            <v>XMBZ2023047</v>
          </cell>
          <cell r="D126">
            <v>44929</v>
          </cell>
          <cell r="E126">
            <v>45293</v>
          </cell>
        </row>
        <row r="127">
          <cell r="A127" t="str">
            <v>标杆未来科技（深圳）有限公司</v>
          </cell>
          <cell r="B127" t="str">
            <v>Android游戏SDK联运合作合同</v>
          </cell>
          <cell r="C127" t="str">
            <v>XMBZ2023048</v>
          </cell>
          <cell r="D127">
            <v>45017</v>
          </cell>
          <cell r="E127">
            <v>46477</v>
          </cell>
        </row>
        <row r="128">
          <cell r="A128" t="str">
            <v>广州市友趣科技有限公司</v>
          </cell>
          <cell r="B128" t="str">
            <v>产品推广合作协议（CPS）+补充协议</v>
          </cell>
          <cell r="C128" t="str">
            <v>XMBZ2023049</v>
          </cell>
          <cell r="D128">
            <v>45047</v>
          </cell>
          <cell r="E128">
            <v>46143</v>
          </cell>
        </row>
        <row r="129">
          <cell r="A129" t="str">
            <v>成都北星互娱科技有限公司</v>
          </cell>
          <cell r="B129" t="str">
            <v>产品推广协议</v>
          </cell>
          <cell r="C129" t="str">
            <v>XMBZ2023050</v>
          </cell>
          <cell r="D129">
            <v>45061</v>
          </cell>
          <cell r="E129">
            <v>45428</v>
          </cell>
        </row>
        <row r="130">
          <cell r="A130" t="str">
            <v>上海灿樱子网络科技有限公司</v>
          </cell>
          <cell r="B130" t="str">
            <v>互联网信息服务框架合同</v>
          </cell>
          <cell r="C130" t="str">
            <v>XMBZ2023051</v>
          </cell>
          <cell r="D130">
            <v>45064</v>
          </cell>
          <cell r="E130">
            <v>45430</v>
          </cell>
        </row>
        <row r="131">
          <cell r="A131" t="str">
            <v>广州星兴游网络科技有限公司</v>
          </cell>
          <cell r="B131" t="str">
            <v>Android游戏SDK联运合作合同</v>
          </cell>
          <cell r="C131" t="str">
            <v>XMBZ2023052</v>
          </cell>
          <cell r="D131">
            <v>45047</v>
          </cell>
          <cell r="E131">
            <v>46142</v>
          </cell>
        </row>
        <row r="132">
          <cell r="A132" t="str">
            <v>北京十九岁网络科技有限公司</v>
          </cell>
          <cell r="B132" t="str">
            <v>Android游戏SDK联运合作合同</v>
          </cell>
          <cell r="C132" t="str">
            <v>XMBZ2023053</v>
          </cell>
          <cell r="D132">
            <v>45047</v>
          </cell>
          <cell r="E132">
            <v>46142</v>
          </cell>
        </row>
        <row r="133">
          <cell r="A133" t="str">
            <v>武汉皮咖互娱科技有限公司</v>
          </cell>
          <cell r="B133" t="str">
            <v>Android游戏SDK联运合作合同</v>
          </cell>
          <cell r="C133" t="str">
            <v>XMBZ2023054</v>
          </cell>
          <cell r="D133">
            <v>45017</v>
          </cell>
          <cell r="E133">
            <v>46112</v>
          </cell>
        </row>
        <row r="134">
          <cell r="A134" t="str">
            <v>上海愉趣网络科技有限公司</v>
          </cell>
          <cell r="B134" t="str">
            <v>单次合作产品接入协议+产品接入合作框架协议（小美斗地主、指尖捕鱼）</v>
          </cell>
          <cell r="C134" t="str">
            <v>XMBZ2023055</v>
          </cell>
          <cell r="D134">
            <v>45017</v>
          </cell>
          <cell r="E134">
            <v>45382</v>
          </cell>
        </row>
        <row r="135">
          <cell r="A135" t="str">
            <v>上海姚际信息科技有限公司</v>
          </cell>
          <cell r="B135" t="str">
            <v>单次合作产品接入协议+产品接入合作框架协议（大神捕鱼）</v>
          </cell>
          <cell r="C135" t="str">
            <v>XMBZ2023056</v>
          </cell>
          <cell r="D135">
            <v>45017</v>
          </cell>
          <cell r="E135">
            <v>45382</v>
          </cell>
        </row>
        <row r="136">
          <cell r="A136" t="str">
            <v>深圳市凉屋游戏科技有限公司</v>
          </cell>
          <cell r="B136" t="str">
            <v>Android游戏SDK联运合作合同+运营授权书&lt;元气骑士&gt;</v>
          </cell>
          <cell r="C136" t="str">
            <v>XMBZ2023057</v>
          </cell>
          <cell r="D136">
            <v>45077</v>
          </cell>
          <cell r="E136">
            <v>46904</v>
          </cell>
        </row>
        <row r="137">
          <cell r="A137" t="str">
            <v>广州雁群科技有限公司</v>
          </cell>
          <cell r="B137" t="str">
            <v>Android游戏SDK联运合作合同</v>
          </cell>
          <cell r="C137" t="str">
            <v>XMBZ2023058</v>
          </cell>
          <cell r="D137">
            <v>45078</v>
          </cell>
          <cell r="E137">
            <v>46173</v>
          </cell>
        </row>
        <row r="138">
          <cell r="A138" t="str">
            <v>北京理想光芒科技有限公司</v>
          </cell>
          <cell r="B138" t="str">
            <v>推广合作协议</v>
          </cell>
          <cell r="C138" t="str">
            <v>XMBZ2023059</v>
          </cell>
          <cell r="D138">
            <v>45017</v>
          </cell>
          <cell r="E138">
            <v>45382</v>
          </cell>
        </row>
        <row r="139">
          <cell r="A139" t="str">
            <v>深圳市掌游趣玩科技有限公司</v>
          </cell>
          <cell r="B139" t="str">
            <v>Android游戏SDK联运合作合同</v>
          </cell>
          <cell r="C139" t="str">
            <v>XMBZ2023060</v>
          </cell>
          <cell r="D139">
            <v>45005</v>
          </cell>
          <cell r="E139">
            <v>46439</v>
          </cell>
        </row>
        <row r="140">
          <cell r="A140" t="str">
            <v>陕西绝峰易游网络科技有限公司</v>
          </cell>
          <cell r="B140" t="str">
            <v>Android游戏SDK联运合作合同</v>
          </cell>
          <cell r="C140" t="str">
            <v>XMBZ2023061</v>
          </cell>
          <cell r="D140">
            <v>44974</v>
          </cell>
          <cell r="E140">
            <v>46069</v>
          </cell>
        </row>
        <row r="141">
          <cell r="A141" t="str">
            <v>密山市翊宸互娱网络科技有限公司</v>
          </cell>
          <cell r="B141" t="str">
            <v>推广合作协议</v>
          </cell>
          <cell r="C141" t="str">
            <v>XMBZ2023062</v>
          </cell>
          <cell r="D141">
            <v>45054</v>
          </cell>
          <cell r="E141">
            <v>45419</v>
          </cell>
        </row>
        <row r="142">
          <cell r="A142" t="str">
            <v>上海巨人统平网络科技有限公司</v>
          </cell>
          <cell r="B142" t="str">
            <v>Android游戏SDK联运合作合同</v>
          </cell>
          <cell r="C142" t="str">
            <v>XMBZ2023063</v>
          </cell>
          <cell r="D142">
            <v>44986</v>
          </cell>
          <cell r="E142">
            <v>46082</v>
          </cell>
        </row>
        <row r="143">
          <cell r="A143" t="str">
            <v>广州游龙互娱网络科技有限公司</v>
          </cell>
          <cell r="B143" t="str">
            <v>Android游戏SDK联运合作合同</v>
          </cell>
          <cell r="C143" t="str">
            <v>XMBZ2023064</v>
          </cell>
          <cell r="D143">
            <v>45017</v>
          </cell>
          <cell r="E143">
            <v>46112</v>
          </cell>
        </row>
        <row r="144">
          <cell r="A144" t="str">
            <v>上海赢谦嘉科技有限公司</v>
          </cell>
          <cell r="B144" t="str">
            <v>Android游戏SDK联运合作合同</v>
          </cell>
          <cell r="C144" t="str">
            <v>XMBZ2023065</v>
          </cell>
          <cell r="D144">
            <v>45047</v>
          </cell>
          <cell r="E144">
            <v>46142</v>
          </cell>
        </row>
        <row r="145">
          <cell r="A145" t="str">
            <v>淘腾互动科技（深圳）有限公司</v>
          </cell>
          <cell r="B145" t="str">
            <v>游戏独家代理协议合同主体变更三方协议</v>
          </cell>
          <cell r="C145" t="str">
            <v>XMBZ2023066</v>
          </cell>
          <cell r="D145">
            <v>44805</v>
          </cell>
          <cell r="E145">
            <v>45901</v>
          </cell>
        </row>
        <row r="146">
          <cell r="A146" t="str">
            <v>深圳市腾讯计算机系统有限公司</v>
          </cell>
          <cell r="B146" t="str">
            <v>腾讯QQ小游戏联盟渠道推广合作协议</v>
          </cell>
          <cell r="C146" t="str">
            <v>XMBZ2023067</v>
          </cell>
          <cell r="D146">
            <v>45017</v>
          </cell>
          <cell r="E146">
            <v>46387</v>
          </cell>
        </row>
        <row r="147">
          <cell r="A147" t="str">
            <v>深圳市星期天网络科技有限公司</v>
          </cell>
          <cell r="B147" t="str">
            <v>Android游戏SDK联运合作合同</v>
          </cell>
          <cell r="C147" t="str">
            <v>XMBZ2023068</v>
          </cell>
          <cell r="D147">
            <v>45107</v>
          </cell>
          <cell r="E147">
            <v>46202</v>
          </cell>
        </row>
        <row r="148">
          <cell r="A148" t="str">
            <v>安徽云境网络科技有限公司</v>
          </cell>
          <cell r="B148" t="str">
            <v>流量交易技术平台测试合同</v>
          </cell>
          <cell r="C148" t="str">
            <v>XMBZ2023069</v>
          </cell>
          <cell r="D148">
            <v>44805</v>
          </cell>
          <cell r="E148">
            <v>45901</v>
          </cell>
        </row>
        <row r="149">
          <cell r="A149" t="str">
            <v>广州青蓝冰水科技有限公司</v>
          </cell>
          <cell r="B149" t="str">
            <v>Android游戏SDK联运合作合同</v>
          </cell>
          <cell r="C149" t="str">
            <v>XMBZ2023070</v>
          </cell>
          <cell r="D149">
            <v>44861</v>
          </cell>
          <cell r="E149">
            <v>46322</v>
          </cell>
        </row>
        <row r="150">
          <cell r="A150" t="str">
            <v>长沙掌控智能科技有限公司</v>
          </cell>
          <cell r="B150" t="str">
            <v>合同主体变更四方协议</v>
          </cell>
          <cell r="C150" t="str">
            <v>XMBZ2023071</v>
          </cell>
          <cell r="D150">
            <v>44896</v>
          </cell>
          <cell r="E150">
            <v>45392</v>
          </cell>
        </row>
        <row r="151">
          <cell r="A151" t="str">
            <v>深圳尚米网络技术有限公司</v>
          </cell>
          <cell r="B151" t="str">
            <v>合作游戏清单&amp;游戏版权声明及授权书（逃跑吧少年）+合作游戏清单&amp;游戏版权声明及授权书（元气骑士前传、第七幻域、丰收之路）+游戏续签协议六</v>
          </cell>
          <cell r="C151" t="str">
            <v>XMBZ2023072</v>
          </cell>
          <cell r="D151">
            <v>45098</v>
          </cell>
          <cell r="E151">
            <v>46350</v>
          </cell>
        </row>
        <row r="152">
          <cell r="A152" t="str">
            <v>山西恒晓通网络科技有限公司</v>
          </cell>
          <cell r="B152" t="str">
            <v>Android游戏SDK联运合作合同</v>
          </cell>
          <cell r="C152" t="str">
            <v>XMBZ2023073</v>
          </cell>
          <cell r="D152">
            <v>45092</v>
          </cell>
          <cell r="E152">
            <v>46187</v>
          </cell>
        </row>
        <row r="153">
          <cell r="A153" t="str">
            <v>苏州嘉映科技有限公司</v>
          </cell>
          <cell r="B153" t="str">
            <v>推广合作协议（我方甲方）</v>
          </cell>
          <cell r="C153" t="str">
            <v>XMBZ2023074</v>
          </cell>
          <cell r="D153">
            <v>45078</v>
          </cell>
          <cell r="E153">
            <v>45808</v>
          </cell>
        </row>
        <row r="154">
          <cell r="A154" t="str">
            <v>杭州非奇科技股份有限公司</v>
          </cell>
          <cell r="B154" t="str">
            <v>手游游戏推广合作框架协议（CPS）</v>
          </cell>
          <cell r="C154" t="str">
            <v>XMBZ2023075</v>
          </cell>
          <cell r="D154">
            <v>45064</v>
          </cell>
          <cell r="E154">
            <v>47620</v>
          </cell>
        </row>
        <row r="155">
          <cell r="A155" t="str">
            <v>长沙市桂圆网络科技有限公司</v>
          </cell>
          <cell r="B155" t="str">
            <v>Android游戏SDK联运合作合同+产品合作主体变更协议+《青云传》合作协议-补充协议</v>
          </cell>
          <cell r="C155" t="str">
            <v>XMBZ2023077</v>
          </cell>
          <cell r="D155">
            <v>45108</v>
          </cell>
          <cell r="E155">
            <v>46203</v>
          </cell>
        </row>
        <row r="156">
          <cell r="A156" t="str">
            <v>长沙市椰子游网络科技有限公司</v>
          </cell>
          <cell r="B156" t="str">
            <v>Android游戏SDK联运合作合同+产品合作主体变更协议+产品合作主体变更协议（双生幻想）</v>
          </cell>
          <cell r="C156" t="str">
            <v>XMBZ2023078</v>
          </cell>
          <cell r="D156">
            <v>45108</v>
          </cell>
          <cell r="E156">
            <v>46203</v>
          </cell>
        </row>
        <row r="157">
          <cell r="A157" t="str">
            <v>杭州创见信息技术有限公司</v>
          </cell>
          <cell r="B157" t="str">
            <v>信息技术服务框架合同</v>
          </cell>
          <cell r="C157" t="str">
            <v>XMBZ2023079</v>
          </cell>
          <cell r="D157">
            <v>45078</v>
          </cell>
          <cell r="E157">
            <v>45443</v>
          </cell>
        </row>
        <row r="158">
          <cell r="A158" t="str">
            <v>南京莫邪网络科技有限公司</v>
          </cell>
          <cell r="B158" t="str">
            <v>Android游戏SDK联运合作合同</v>
          </cell>
          <cell r="C158" t="str">
            <v>XMBZ2023080</v>
          </cell>
          <cell r="D158">
            <v>45121</v>
          </cell>
          <cell r="E158">
            <v>46216</v>
          </cell>
        </row>
        <row r="159">
          <cell r="A159" t="str">
            <v>武汉葡萄互娱网络科技有限公司</v>
          </cell>
          <cell r="B159" t="str">
            <v>Android游戏SDK联运合作合同</v>
          </cell>
          <cell r="C159" t="str">
            <v>XMBZ2023081</v>
          </cell>
          <cell r="D159">
            <v>45145</v>
          </cell>
          <cell r="E159">
            <v>46240</v>
          </cell>
        </row>
        <row r="160">
          <cell r="A160" t="str">
            <v>深圳市言信文化传媒有限公司</v>
          </cell>
          <cell r="B160" t="str">
            <v>Android游戏SDK联运合作合同</v>
          </cell>
          <cell r="C160" t="str">
            <v>XMBZ2023082</v>
          </cell>
          <cell r="D160">
            <v>45127</v>
          </cell>
          <cell r="E160">
            <v>46222</v>
          </cell>
        </row>
        <row r="161">
          <cell r="A161" t="str">
            <v>成都涵星文化传媒有限公司</v>
          </cell>
          <cell r="B161" t="str">
            <v>Android游戏SDK联运合作合同</v>
          </cell>
          <cell r="C161" t="str">
            <v>XMBZ2023083</v>
          </cell>
          <cell r="D161">
            <v>45154</v>
          </cell>
          <cell r="E161">
            <v>46249</v>
          </cell>
        </row>
        <row r="162">
          <cell r="A162" t="str">
            <v>武汉中尚晖跃网络科技有限公司</v>
          </cell>
          <cell r="B162" t="str">
            <v>Android游戏SDK联运合作合同</v>
          </cell>
          <cell r="C162" t="str">
            <v>XMBZ2023084</v>
          </cell>
          <cell r="D162">
            <v>45152</v>
          </cell>
          <cell r="E162">
            <v>46247</v>
          </cell>
        </row>
        <row r="163">
          <cell r="A163" t="str">
            <v>集悦科技（西安）有限公司</v>
          </cell>
          <cell r="B163" t="str">
            <v>Android游戏SDK联运合作合同</v>
          </cell>
          <cell r="C163" t="str">
            <v>XMBZ2023085</v>
          </cell>
          <cell r="D163">
            <v>45164</v>
          </cell>
          <cell r="E163">
            <v>46259</v>
          </cell>
        </row>
        <row r="164">
          <cell r="A164" t="str">
            <v>上海百开文化传媒有限公司</v>
          </cell>
          <cell r="B164" t="str">
            <v>Android游戏SDK联运合作合同+合同主体变更三方协议</v>
          </cell>
          <cell r="C164" t="str">
            <v>XMBZ2023086</v>
          </cell>
          <cell r="D164">
            <v>45102</v>
          </cell>
          <cell r="E164">
            <v>46197</v>
          </cell>
        </row>
        <row r="165">
          <cell r="A165" t="str">
            <v>成都俊云科技有限公司</v>
          </cell>
          <cell r="B165" t="str">
            <v>网络信息服务合同</v>
          </cell>
          <cell r="C165" t="str">
            <v>XMBZ2023087</v>
          </cell>
          <cell r="D165">
            <v>45152</v>
          </cell>
          <cell r="E165">
            <v>46247</v>
          </cell>
        </row>
        <row r="166">
          <cell r="A166" t="str">
            <v>北京网易有道计算机系统有限公司</v>
          </cell>
          <cell r="B166" t="str">
            <v>有道信息服务合作协议+延期补充协议</v>
          </cell>
          <cell r="C166" t="str">
            <v>XMBZ2023088</v>
          </cell>
          <cell r="D166">
            <v>45139</v>
          </cell>
          <cell r="E166">
            <v>46022</v>
          </cell>
        </row>
        <row r="167">
          <cell r="A167" t="str">
            <v>安徽助创网络科技有限公司</v>
          </cell>
          <cell r="B167" t="str">
            <v>推广合作协议</v>
          </cell>
          <cell r="C167" t="str">
            <v>XMBZ2023089</v>
          </cell>
          <cell r="D167">
            <v>45078</v>
          </cell>
          <cell r="E167">
            <v>45443</v>
          </cell>
        </row>
        <row r="168">
          <cell r="A168" t="str">
            <v>宜宾欢聚游网络科技有限责任公司</v>
          </cell>
          <cell r="B168" t="str">
            <v>Android游戏SDK联运合作合同</v>
          </cell>
          <cell r="C168" t="str">
            <v>XMBZ2023090</v>
          </cell>
          <cell r="D168">
            <v>45136</v>
          </cell>
          <cell r="E168">
            <v>46231</v>
          </cell>
        </row>
        <row r="169">
          <cell r="A169" t="str">
            <v>上海晋展网络科技有限公司</v>
          </cell>
          <cell r="B169" t="str">
            <v>推广合作协议</v>
          </cell>
          <cell r="C169" t="str">
            <v>XMBZ2023091</v>
          </cell>
          <cell r="D169">
            <v>45139</v>
          </cell>
          <cell r="E169">
            <v>45505</v>
          </cell>
        </row>
        <row r="170">
          <cell r="A170" t="str">
            <v>福建超神网络科技有限公司</v>
          </cell>
          <cell r="B170" t="str">
            <v>推广合作协议（我方甲方）</v>
          </cell>
          <cell r="C170" t="str">
            <v>XMBZ2023092</v>
          </cell>
          <cell r="D170">
            <v>44682</v>
          </cell>
          <cell r="E170">
            <v>45412</v>
          </cell>
        </row>
        <row r="171">
          <cell r="A171" t="str">
            <v>福建畅游天际网络科技有限公司</v>
          </cell>
          <cell r="B171" t="str">
            <v>推广合作协议</v>
          </cell>
          <cell r="C171" t="str">
            <v>XMBZ2023093</v>
          </cell>
          <cell r="D171">
            <v>44865</v>
          </cell>
          <cell r="E171">
            <v>45595</v>
          </cell>
        </row>
        <row r="172">
          <cell r="A172" t="str">
            <v>尊岸广告（上海）有限公司</v>
          </cell>
          <cell r="B172" t="str">
            <v>网络信息服务框架合同+《光与夜之恋》网络广告发布服务合同+《天涯明月刀手游》网络广告发布服务合同</v>
          </cell>
          <cell r="C172" t="str">
            <v>XMBZ2023094</v>
          </cell>
          <cell r="D172">
            <v>45078</v>
          </cell>
          <cell r="E172">
            <v>45291</v>
          </cell>
        </row>
        <row r="173">
          <cell r="A173" t="str">
            <v>深圳市嗨皮窝网络科技有限公司</v>
          </cell>
          <cell r="B173" t="str">
            <v>Android游戏SDK联运合作合同</v>
          </cell>
          <cell r="C173" t="str">
            <v>XMBZ2023095</v>
          </cell>
          <cell r="D173">
            <v>45184</v>
          </cell>
          <cell r="E173">
            <v>46279</v>
          </cell>
        </row>
        <row r="174">
          <cell r="A174" t="str">
            <v>北京畅乐无限科技有限公司</v>
          </cell>
          <cell r="B174" t="str">
            <v>推广合作协议（甲方）</v>
          </cell>
          <cell r="C174" t="str">
            <v>XMBZ2023096</v>
          </cell>
          <cell r="D174">
            <v>45117</v>
          </cell>
          <cell r="E174">
            <v>45878</v>
          </cell>
        </row>
        <row r="175">
          <cell r="A175" t="str">
            <v>广州君益网络有限公司</v>
          </cell>
          <cell r="B175" t="str">
            <v>Android游戏SDK联运合作合同</v>
          </cell>
          <cell r="C175" t="str">
            <v>XMBZ2023097</v>
          </cell>
          <cell r="D175">
            <v>45161</v>
          </cell>
          <cell r="E175">
            <v>46256</v>
          </cell>
        </row>
        <row r="176">
          <cell r="A176" t="str">
            <v>深圳市启航数字网络科技有限公司</v>
          </cell>
          <cell r="B176" t="str">
            <v>推广合作协议（甲方）</v>
          </cell>
          <cell r="C176" t="str">
            <v>XMBZ2023098</v>
          </cell>
          <cell r="D176">
            <v>45108</v>
          </cell>
          <cell r="E176">
            <v>45473</v>
          </cell>
        </row>
        <row r="177">
          <cell r="A177" t="str">
            <v>渠县海启科技有限公司</v>
          </cell>
          <cell r="B177" t="str">
            <v>推广合作协议</v>
          </cell>
          <cell r="C177" t="str">
            <v>XMBZ2023099</v>
          </cell>
          <cell r="D177">
            <v>44866</v>
          </cell>
          <cell r="E177">
            <v>45230</v>
          </cell>
        </row>
        <row r="178">
          <cell r="A178" t="str">
            <v>杭州骊龙网络科技有限公司</v>
          </cell>
          <cell r="B178" t="str">
            <v>Android游戏SDK联运合作合同</v>
          </cell>
          <cell r="C178" t="str">
            <v>XMBZ2023100</v>
          </cell>
          <cell r="D178">
            <v>45170</v>
          </cell>
          <cell r="E178">
            <v>46265</v>
          </cell>
        </row>
        <row r="179">
          <cell r="A179" t="str">
            <v>厦门爆量互娱网络科技有限公司</v>
          </cell>
          <cell r="B179" t="str">
            <v>Android游戏SDK联运合作合同</v>
          </cell>
          <cell r="C179" t="str">
            <v>XMBZ2023101</v>
          </cell>
          <cell r="D179">
            <v>45174</v>
          </cell>
          <cell r="E179">
            <v>46269</v>
          </cell>
        </row>
        <row r="180">
          <cell r="A180" t="str">
            <v>广州图币网络科技有限公司</v>
          </cell>
          <cell r="B180" t="str">
            <v>推广合作协议（甲方）</v>
          </cell>
          <cell r="C180" t="str">
            <v>XMBZ2023102</v>
          </cell>
          <cell r="D180">
            <v>45108</v>
          </cell>
          <cell r="E180">
            <v>45473</v>
          </cell>
        </row>
        <row r="181">
          <cell r="A181" t="str">
            <v>上海叶熙网络科技有限公司</v>
          </cell>
          <cell r="B181" t="str">
            <v>联运合作合同</v>
          </cell>
          <cell r="C181" t="str">
            <v>XMBZ2023103</v>
          </cell>
          <cell r="D181">
            <v>45125</v>
          </cell>
          <cell r="E181">
            <v>46220</v>
          </cell>
        </row>
        <row r="182">
          <cell r="A182" t="str">
            <v>成都犇赢互娱科技有限公司</v>
          </cell>
          <cell r="B182" t="str">
            <v>Android游戏SDK联运合作合同</v>
          </cell>
          <cell r="C182" t="str">
            <v>XMBZ2023104</v>
          </cell>
          <cell r="D182">
            <v>45187</v>
          </cell>
          <cell r="E182">
            <v>46282</v>
          </cell>
        </row>
        <row r="183">
          <cell r="A183" t="str">
            <v>成都指乐互动科技有限公司</v>
          </cell>
          <cell r="B183" t="str">
            <v>Android游戏SDK联运合作合同</v>
          </cell>
          <cell r="C183" t="str">
            <v>XMBZ2023105</v>
          </cell>
          <cell r="D183">
            <v>45187</v>
          </cell>
          <cell r="E183">
            <v>46282</v>
          </cell>
        </row>
        <row r="184">
          <cell r="A184" t="str">
            <v>上海典拓网络科技有限公司</v>
          </cell>
          <cell r="B184" t="str">
            <v>Android游戏SDK联运合作合同</v>
          </cell>
          <cell r="C184" t="str">
            <v>XMBZ2023106</v>
          </cell>
          <cell r="D184">
            <v>45170</v>
          </cell>
          <cell r="E184">
            <v>45535</v>
          </cell>
        </row>
        <row r="185">
          <cell r="A185" t="str">
            <v>广州青提网络科技有限公司</v>
          </cell>
          <cell r="B185" t="str">
            <v>Android游戏SDK联运合作合同+新增游戏补充协议</v>
          </cell>
          <cell r="C185" t="str">
            <v>XMBZ2023107</v>
          </cell>
          <cell r="D185">
            <v>45170</v>
          </cell>
          <cell r="E185">
            <v>46630</v>
          </cell>
        </row>
        <row r="186">
          <cell r="A186" t="str">
            <v>竞技世界（北京）网络技术有限公司</v>
          </cell>
          <cell r="B186" t="str">
            <v>CPS推广协议-曙光英雄+续签协议</v>
          </cell>
          <cell r="C186" t="str">
            <v>XMBZ2023108</v>
          </cell>
          <cell r="D186">
            <v>45174</v>
          </cell>
          <cell r="E186">
            <v>46268</v>
          </cell>
        </row>
        <row r="187">
          <cell r="A187" t="str">
            <v>杭州司墨网络科技有限公司</v>
          </cell>
          <cell r="B187" t="str">
            <v>Android游戏SDK联运合作合同</v>
          </cell>
          <cell r="C187" t="str">
            <v>XMBZ2023109</v>
          </cell>
          <cell r="D187">
            <v>45210</v>
          </cell>
          <cell r="E187">
            <v>46670</v>
          </cell>
        </row>
        <row r="188">
          <cell r="A188" t="str">
            <v>深圳市腾讯计算机系统有限公司</v>
          </cell>
          <cell r="B188" t="str">
            <v>腾讯QQ小游戏联盟渠道推广合作协议</v>
          </cell>
          <cell r="C188" t="str">
            <v>XMBZ2023110</v>
          </cell>
          <cell r="D188">
            <v>45180</v>
          </cell>
          <cell r="E188">
            <v>46387</v>
          </cell>
        </row>
        <row r="189">
          <cell r="A189" t="str">
            <v>深圳市千里龙科技有限公司</v>
          </cell>
          <cell r="B189" t="str">
            <v>Android游戏SDK联运合作合同</v>
          </cell>
          <cell r="C189" t="str">
            <v>XMBZ2023111</v>
          </cell>
          <cell r="D189">
            <v>45196</v>
          </cell>
          <cell r="E189">
            <v>46656</v>
          </cell>
        </row>
        <row r="190">
          <cell r="A190" t="str">
            <v>深圳市拓奥科技有限公司</v>
          </cell>
          <cell r="B190" t="str">
            <v>Android游戏SDK联运合作合同</v>
          </cell>
          <cell r="C190" t="str">
            <v>XMBZ2023112</v>
          </cell>
          <cell r="D190">
            <v>45200</v>
          </cell>
          <cell r="E190">
            <v>46660</v>
          </cell>
        </row>
        <row r="191">
          <cell r="A191" t="str">
            <v>深圳晴空游戏科技有限公司</v>
          </cell>
          <cell r="B191" t="str">
            <v>Android游戏SDK联运合作合同</v>
          </cell>
          <cell r="C191" t="str">
            <v>XMBZ2023113</v>
          </cell>
          <cell r="D191">
            <v>45183</v>
          </cell>
          <cell r="E191">
            <v>46643</v>
          </cell>
        </row>
        <row r="192">
          <cell r="A192" t="str">
            <v>海南微梦网络科技有限公司</v>
          </cell>
          <cell r="B192" t="str">
            <v>推广合作协议（甲方）</v>
          </cell>
          <cell r="C192" t="str">
            <v>XMBZ2023114</v>
          </cell>
          <cell r="D192">
            <v>45163</v>
          </cell>
          <cell r="E192">
            <v>45528</v>
          </cell>
        </row>
        <row r="193">
          <cell r="A193" t="str">
            <v>海南微梦网络科技有限公司</v>
          </cell>
          <cell r="B193" t="str">
            <v>产品推广合作协议（CPS）（甲方）</v>
          </cell>
          <cell r="C193" t="str">
            <v>XMBZ2023115</v>
          </cell>
          <cell r="D193">
            <v>45163</v>
          </cell>
          <cell r="E193">
            <v>46258</v>
          </cell>
        </row>
        <row r="194">
          <cell r="A194" t="str">
            <v>深圳市游友圈科技有限公司</v>
          </cell>
          <cell r="B194" t="str">
            <v>推广合作协议</v>
          </cell>
          <cell r="C194" t="str">
            <v>XMBZ2023116</v>
          </cell>
          <cell r="D194">
            <v>45108</v>
          </cell>
          <cell r="E194">
            <v>46204</v>
          </cell>
        </row>
        <row r="195">
          <cell r="A195" t="str">
            <v>海南佰跃科技有限公司</v>
          </cell>
          <cell r="B195" t="str">
            <v>Android游戏SDK联运合作合同</v>
          </cell>
          <cell r="C195" t="str">
            <v>XMBZ2023117</v>
          </cell>
          <cell r="D195">
            <v>45222</v>
          </cell>
          <cell r="E195">
            <v>46317</v>
          </cell>
        </row>
        <row r="196">
          <cell r="A196" t="str">
            <v>深圳市壹娱科技有限公司</v>
          </cell>
          <cell r="B196" t="str">
            <v>Android游戏SDK联运合作合同</v>
          </cell>
          <cell r="C196" t="str">
            <v>XMBZ2023118</v>
          </cell>
          <cell r="D196">
            <v>45179</v>
          </cell>
          <cell r="E196">
            <v>46387</v>
          </cell>
        </row>
        <row r="197">
          <cell r="A197" t="str">
            <v>厦门游犀网络科技有限公司</v>
          </cell>
          <cell r="B197" t="str">
            <v>Android游戏SDK联运合作合同</v>
          </cell>
          <cell r="C197" t="str">
            <v>XMBZ2023119</v>
          </cell>
          <cell r="D197">
            <v>45200</v>
          </cell>
          <cell r="E197">
            <v>46296</v>
          </cell>
        </row>
        <row r="198">
          <cell r="A198" t="str">
            <v>长沙潇湘畅游网络科技有限公司</v>
          </cell>
          <cell r="B198" t="str">
            <v>Android游戏SDK联运合作合同</v>
          </cell>
          <cell r="C198" t="str">
            <v>XMBZ2023120</v>
          </cell>
          <cell r="D198">
            <v>45231</v>
          </cell>
          <cell r="E198">
            <v>46326</v>
          </cell>
        </row>
        <row r="199">
          <cell r="A199" t="str">
            <v>福州赛云网络科技有限公司</v>
          </cell>
          <cell r="B199" t="str">
            <v>《元气骑士前传》游戏产品引入合作协议</v>
          </cell>
          <cell r="C199" t="str">
            <v>XMBZ2023121</v>
          </cell>
          <cell r="D199">
            <v>45253</v>
          </cell>
          <cell r="E199">
            <v>45983</v>
          </cell>
        </row>
        <row r="200">
          <cell r="A200" t="str">
            <v>厦门火星椰子信息科技有限公司</v>
          </cell>
          <cell r="B200" t="str">
            <v>Android游戏SDK联运合作合同+产品主体变更协议（女神联盟2）</v>
          </cell>
          <cell r="C200" t="str">
            <v>XMBZ2023122</v>
          </cell>
          <cell r="D200">
            <v>45231</v>
          </cell>
          <cell r="E200">
            <v>46326</v>
          </cell>
        </row>
        <row r="201">
          <cell r="A201" t="str">
            <v>上海畅指网络科技有限公司</v>
          </cell>
          <cell r="B201" t="str">
            <v>《元气骑士前传》手机游戏联运合作协议+授权书</v>
          </cell>
          <cell r="C201" t="str">
            <v>XMBZ2023123</v>
          </cell>
          <cell r="D201">
            <v>45253</v>
          </cell>
          <cell r="E201">
            <v>45983</v>
          </cell>
        </row>
        <row r="202">
          <cell r="A202" t="str">
            <v>广州悦然网络科技有限公司</v>
          </cell>
          <cell r="B202" t="str">
            <v>Android游戏SDK联运合作合同</v>
          </cell>
          <cell r="C202" t="str">
            <v>XMBZ2023124</v>
          </cell>
          <cell r="D202">
            <v>45247</v>
          </cell>
          <cell r="E202">
            <v>46342</v>
          </cell>
        </row>
        <row r="203">
          <cell r="A203" t="str">
            <v>厦门六六游网络科技有限公司</v>
          </cell>
          <cell r="B203" t="str">
            <v>产品推广合作协议（CPS）（甲方）</v>
          </cell>
          <cell r="C203" t="str">
            <v>XMBZ2023125</v>
          </cell>
          <cell r="D203">
            <v>45231</v>
          </cell>
          <cell r="E203">
            <v>46690</v>
          </cell>
        </row>
        <row r="204">
          <cell r="A204" t="str">
            <v>至彩互娱（宿迁）科技有限公司</v>
          </cell>
          <cell r="B204" t="str">
            <v>Android游戏SDK联运合作合同</v>
          </cell>
          <cell r="C204" t="str">
            <v>XMBZ2023126</v>
          </cell>
          <cell r="D204">
            <v>45253</v>
          </cell>
          <cell r="E204">
            <v>46713</v>
          </cell>
        </row>
        <row r="205">
          <cell r="A205" t="str">
            <v>咪咕互动娱乐有限公司</v>
          </cell>
          <cell r="B205" t="str">
            <v>《元气骑士前传》游戏产品引入合作协议</v>
          </cell>
          <cell r="C205" t="str">
            <v>XMBZ2023127</v>
          </cell>
          <cell r="D205">
            <v>45253</v>
          </cell>
          <cell r="E205">
            <v>45983</v>
          </cell>
        </row>
        <row r="206">
          <cell r="A206" t="str">
            <v>广东安久科技有限公司</v>
          </cell>
          <cell r="B206" t="str">
            <v>《元气骑士前传》应用清单+授权书</v>
          </cell>
          <cell r="C206" t="str">
            <v>XMBZ2023128</v>
          </cell>
          <cell r="D206">
            <v>45239</v>
          </cell>
          <cell r="E206">
            <v>45604</v>
          </cell>
        </row>
        <row r="207">
          <cell r="A207" t="str">
            <v>深圳市易众传媒有限公司</v>
          </cell>
          <cell r="B207" t="str">
            <v>Android游戏SDK联运合作合同</v>
          </cell>
          <cell r="C207" t="str">
            <v>XMBZ2023129</v>
          </cell>
          <cell r="D207">
            <v>45272</v>
          </cell>
          <cell r="E207">
            <v>46367</v>
          </cell>
        </row>
        <row r="208">
          <cell r="A208" t="str">
            <v>苏州指趣互娱网络科技有限公司</v>
          </cell>
          <cell r="B208" t="str">
            <v>Android游戏SDK联运合作合同</v>
          </cell>
          <cell r="C208" t="str">
            <v>XMBZ2023130</v>
          </cell>
          <cell r="D208">
            <v>45262</v>
          </cell>
          <cell r="E208">
            <v>46357</v>
          </cell>
        </row>
        <row r="209">
          <cell r="A209" t="str">
            <v>上海百开文化传媒有限公司</v>
          </cell>
          <cell r="B209" t="str">
            <v>Android游戏SDK联运合作合同</v>
          </cell>
          <cell r="C209" t="str">
            <v>XMBZ2023131</v>
          </cell>
          <cell r="D209">
            <v>45253</v>
          </cell>
          <cell r="E209">
            <v>46713</v>
          </cell>
        </row>
        <row r="210">
          <cell r="A210" t="str">
            <v>上海趣朗网络科技有限公司</v>
          </cell>
          <cell r="B210" t="str">
            <v>手机游戏联合推广框架协议+《元气骑士前传》《第七幻域》清单+续期补充协议+补充协议《捕盗行纪》+续期补充协议（主框架+元气骑士）+续期补充协议（无悔华夏+葫芦BT1&amp;BT2+放置与召唤）（集网）</v>
          </cell>
          <cell r="C210" t="str">
            <v>XMBZ2023132</v>
          </cell>
          <cell r="D210">
            <v>45252</v>
          </cell>
          <cell r="E210">
            <v>45982</v>
          </cell>
        </row>
        <row r="211">
          <cell r="A211" t="str">
            <v>海南众乐游信息技术有限公司</v>
          </cell>
          <cell r="B211" t="str">
            <v>Android游戏SDK联运合作合同</v>
          </cell>
          <cell r="C211" t="str">
            <v>XMBZ2023133</v>
          </cell>
          <cell r="D211">
            <v>45231</v>
          </cell>
          <cell r="E211">
            <v>46326</v>
          </cell>
        </row>
        <row r="212">
          <cell r="A212" t="str">
            <v>北京漫腾网络科技有限公司</v>
          </cell>
          <cell r="B212" t="str">
            <v>Android游戏SDK联运合作合同</v>
          </cell>
          <cell r="C212" t="str">
            <v>XMBZ2023134</v>
          </cell>
          <cell r="D212">
            <v>45268</v>
          </cell>
          <cell r="E212">
            <v>46728</v>
          </cell>
        </row>
        <row r="213">
          <cell r="A213" t="str">
            <v>天津邻动科技有限公司</v>
          </cell>
          <cell r="B213" t="str">
            <v>推广合作协议</v>
          </cell>
          <cell r="C213" t="str">
            <v>XMBZ2023135</v>
          </cell>
          <cell r="D213">
            <v>44927</v>
          </cell>
          <cell r="E213">
            <v>46022</v>
          </cell>
        </row>
        <row r="214">
          <cell r="A214" t="str">
            <v>天津邻动科技有限公司</v>
          </cell>
          <cell r="B214" t="str">
            <v>推广合作协议（我方甲方）</v>
          </cell>
          <cell r="C214" t="str">
            <v>XMBZ2023136</v>
          </cell>
          <cell r="D214">
            <v>44927</v>
          </cell>
          <cell r="E214">
            <v>46022</v>
          </cell>
        </row>
        <row r="215">
          <cell r="A215" t="str">
            <v>深圳敢玩网络科技有限公司</v>
          </cell>
          <cell r="B215" t="str">
            <v>Android游戏SDK联运合作合同</v>
          </cell>
          <cell r="C215" t="str">
            <v>XMBZ2023137</v>
          </cell>
          <cell r="D215">
            <v>45190</v>
          </cell>
          <cell r="E215">
            <v>45555</v>
          </cell>
        </row>
        <row r="216">
          <cell r="A216" t="str">
            <v>厦门捷游网络科技有限公司</v>
          </cell>
          <cell r="B216" t="str">
            <v>Android游戏SDK联运合作合同</v>
          </cell>
          <cell r="C216" t="str">
            <v>XMBZ2023138</v>
          </cell>
          <cell r="D216">
            <v>45280</v>
          </cell>
          <cell r="E216">
            <v>46750</v>
          </cell>
        </row>
        <row r="217">
          <cell r="A217" t="str">
            <v>厦门维虎网络科技有限公司</v>
          </cell>
          <cell r="B217" t="str">
            <v>《元气骑士前传》、《像素射击》联运项目清单</v>
          </cell>
          <cell r="C217" t="str">
            <v>XMBZ2023139</v>
          </cell>
          <cell r="D217">
            <v>45251</v>
          </cell>
          <cell r="E217">
            <v>45617</v>
          </cell>
        </row>
        <row r="218">
          <cell r="A218" t="str">
            <v>竞技世界（北京）网络技术有限公司</v>
          </cell>
          <cell r="B218" t="str">
            <v>CPS推广协议-我自为道</v>
          </cell>
          <cell r="C218" t="str">
            <v>XMBZ2023140</v>
          </cell>
          <cell r="D218">
            <v>45287</v>
          </cell>
          <cell r="E218">
            <v>45652</v>
          </cell>
        </row>
        <row r="219">
          <cell r="A219" t="str">
            <v>昆山悦趣信息科技有限公司</v>
          </cell>
          <cell r="B219" t="str">
            <v>Android游戏SDK联运合作合同</v>
          </cell>
          <cell r="C219" t="str">
            <v>XMBZ2023141</v>
          </cell>
          <cell r="D219">
            <v>45271</v>
          </cell>
          <cell r="E219">
            <v>46366</v>
          </cell>
        </row>
        <row r="220">
          <cell r="A220" t="str">
            <v>广州小丑网络科技有限公司</v>
          </cell>
          <cell r="B220" t="str">
            <v>Android游戏SDK联运合作合同</v>
          </cell>
          <cell r="C220" t="str">
            <v>XMBZ2023142</v>
          </cell>
          <cell r="D220">
            <v>45140</v>
          </cell>
          <cell r="E220">
            <v>46266</v>
          </cell>
        </row>
        <row r="221">
          <cell r="A221" t="str">
            <v>广州游路网络科技有限公司</v>
          </cell>
          <cell r="B221" t="str">
            <v>Android游戏SDK联运合作合同</v>
          </cell>
          <cell r="C221" t="str">
            <v>XMBZ2023143</v>
          </cell>
          <cell r="D221">
            <v>45139</v>
          </cell>
          <cell r="E221">
            <v>46234</v>
          </cell>
        </row>
        <row r="222">
          <cell r="A222" t="str">
            <v>长沙掌控智能科技有限公司</v>
          </cell>
          <cell r="B222" t="str">
            <v>《元气骑士前传》游戏授权清单</v>
          </cell>
          <cell r="C222" t="str">
            <v>XMBZ2023144</v>
          </cell>
          <cell r="D222">
            <v>45245</v>
          </cell>
          <cell r="E222">
            <v>46366</v>
          </cell>
        </row>
        <row r="223">
          <cell r="A223" t="str">
            <v>北京一玖互联科技有限公司</v>
          </cell>
          <cell r="B223" t="str">
            <v>推广合作协议（我方甲方）</v>
          </cell>
          <cell r="C223" t="str">
            <v>XMBZ2023145</v>
          </cell>
          <cell r="D223">
            <v>45148</v>
          </cell>
          <cell r="E223">
            <v>45879</v>
          </cell>
        </row>
        <row r="224">
          <cell r="A224" t="str">
            <v>厦门星速互动网络科技有限公司</v>
          </cell>
          <cell r="B224" t="str">
            <v>产品推广合作协议（CPS）（我方甲方）</v>
          </cell>
          <cell r="C224" t="str">
            <v>XMBZ2023146</v>
          </cell>
          <cell r="D224">
            <v>45231</v>
          </cell>
          <cell r="E224">
            <v>46326</v>
          </cell>
        </row>
        <row r="225">
          <cell r="A225" t="str">
            <v>辽宁多趣互娱科技有限公司</v>
          </cell>
          <cell r="B225" t="str">
            <v>Android游戏SDK联运合作合同</v>
          </cell>
          <cell r="C225" t="str">
            <v>XMBZ2023147</v>
          </cell>
          <cell r="D225">
            <v>45231</v>
          </cell>
          <cell r="E225">
            <v>46326</v>
          </cell>
        </row>
        <row r="226">
          <cell r="A226" t="str">
            <v>广州网易计算机系统有限公司</v>
          </cell>
          <cell r="B226" t="str">
            <v>游戏授权推广运营合作协议+捕盗行纪清单</v>
          </cell>
          <cell r="C226" t="str">
            <v>XMBZ2023148</v>
          </cell>
          <cell r="D226">
            <v>45253</v>
          </cell>
          <cell r="E226">
            <v>45983</v>
          </cell>
        </row>
        <row r="227">
          <cell r="A227" t="str">
            <v>网易（杭州）网络有限公司</v>
          </cell>
          <cell r="B227" t="str">
            <v>产品推广合作协议（CPS）（我方甲方）</v>
          </cell>
          <cell r="C227" t="str">
            <v>XMBZ2023149</v>
          </cell>
          <cell r="D227">
            <v>45253</v>
          </cell>
          <cell r="E227">
            <v>45983</v>
          </cell>
        </row>
        <row r="228">
          <cell r="A228" t="str">
            <v>厦门三七三三网络科技有限公司</v>
          </cell>
          <cell r="B228" t="str">
            <v>游戏产品接入清单&amp;运营授权书（元气骑士前传）</v>
          </cell>
          <cell r="C228" t="str">
            <v>XMBZ2023150</v>
          </cell>
          <cell r="D228">
            <v>45240</v>
          </cell>
          <cell r="E228">
            <v>45605</v>
          </cell>
        </row>
        <row r="229">
          <cell r="A229" t="str">
            <v>海南羽弘信息技术有限公司</v>
          </cell>
          <cell r="B229" t="str">
            <v>终止协议书</v>
          </cell>
          <cell r="C229" t="str">
            <v>XMBZ2023151</v>
          </cell>
          <cell r="D229">
            <v>44929</v>
          </cell>
          <cell r="E229">
            <v>45315</v>
          </cell>
        </row>
        <row r="230">
          <cell r="A230" t="str">
            <v>厦门铠甲网络股份有限公司</v>
          </cell>
          <cell r="B230" t="str">
            <v>产品服务合作协议</v>
          </cell>
          <cell r="C230" t="str">
            <v>XMBZ2023152</v>
          </cell>
          <cell r="D230">
            <v>45231</v>
          </cell>
          <cell r="E230">
            <v>46387</v>
          </cell>
        </row>
        <row r="231">
          <cell r="A231" t="str">
            <v>深圳市豚游互娱科技有限公司</v>
          </cell>
          <cell r="B231" t="str">
            <v>Android游戏SDK联运合作合同</v>
          </cell>
          <cell r="C231" t="str">
            <v>XMBZ2023153</v>
          </cell>
          <cell r="D231">
            <v>45286</v>
          </cell>
          <cell r="E231">
            <v>46746</v>
          </cell>
        </row>
        <row r="232">
          <cell r="A232" t="str">
            <v>深圳市启航数字网络科技有限公司</v>
          </cell>
          <cell r="B232" t="str">
            <v>推广合作协议</v>
          </cell>
          <cell r="C232" t="str">
            <v>XMBZ2023154</v>
          </cell>
          <cell r="D232">
            <v>45078</v>
          </cell>
          <cell r="E232">
            <v>45808</v>
          </cell>
        </row>
        <row r="233">
          <cell r="A233" t="str">
            <v>上海暗冬网络科技有限公司</v>
          </cell>
          <cell r="B233" t="str">
            <v>信息服务框架合同</v>
          </cell>
          <cell r="C233" t="str">
            <v>XMBZ2023155</v>
          </cell>
          <cell r="D233">
            <v>45280</v>
          </cell>
          <cell r="E233">
            <v>45657</v>
          </cell>
        </row>
        <row r="234">
          <cell r="A234" t="str">
            <v>厦门铠甲网络股份有限公司</v>
          </cell>
          <cell r="B234" t="str">
            <v>产品CPS推广合作协议</v>
          </cell>
          <cell r="C234" t="str">
            <v>XMBZ2023156</v>
          </cell>
          <cell r="D234">
            <v>45093</v>
          </cell>
          <cell r="E234">
            <v>45823</v>
          </cell>
        </row>
        <row r="235">
          <cell r="A235" t="str">
            <v>广州摩登玩网络科技有限公司</v>
          </cell>
          <cell r="B235" t="str">
            <v>Android游戏SDK联运合作合同</v>
          </cell>
          <cell r="C235" t="str">
            <v>XMBZ2023157</v>
          </cell>
          <cell r="D235">
            <v>45190</v>
          </cell>
          <cell r="E235">
            <v>46285</v>
          </cell>
        </row>
        <row r="236">
          <cell r="A236" t="str">
            <v>苏州燃冰网络科技有限公司</v>
          </cell>
          <cell r="B236" t="str">
            <v>合同主体变更三方协议</v>
          </cell>
          <cell r="C236" t="str">
            <v>XMBZ2023158</v>
          </cell>
          <cell r="D236">
            <v>45262</v>
          </cell>
          <cell r="E236">
            <v>46357</v>
          </cell>
        </row>
        <row r="237">
          <cell r="A237" t="str">
            <v>厦门游犀网络科技有限公司</v>
          </cell>
          <cell r="B237" t="str">
            <v>Android游戏SDK联运合作合同</v>
          </cell>
          <cell r="C237" t="str">
            <v>XMBZ2023159</v>
          </cell>
          <cell r="D237">
            <v>45232</v>
          </cell>
          <cell r="E237">
            <v>46327</v>
          </cell>
        </row>
        <row r="238">
          <cell r="A238" t="str">
            <v>海南红橙时代科技有限公司</v>
          </cell>
          <cell r="B238" t="str">
            <v>推广合作协议</v>
          </cell>
          <cell r="C238" t="str">
            <v>XMBZ2023160</v>
          </cell>
          <cell r="D238">
            <v>45170</v>
          </cell>
          <cell r="E238">
            <v>45900</v>
          </cell>
        </row>
        <row r="239">
          <cell r="A239" t="str">
            <v>上海姚辉信息科技有限公司</v>
          </cell>
          <cell r="B239" t="str">
            <v>单次合作产品接入协议+产品接入合作框架协议（捕鱼新纪元）</v>
          </cell>
          <cell r="C239" t="str">
            <v>XMBZ2023161</v>
          </cell>
          <cell r="D239">
            <v>45200</v>
          </cell>
          <cell r="E239">
            <v>45565</v>
          </cell>
        </row>
        <row r="240">
          <cell r="A240" t="str">
            <v>广州闪可优网络科技有限公司</v>
          </cell>
          <cell r="B240" t="str">
            <v>手机游戏联合运营CPS合作服务协议</v>
          </cell>
          <cell r="C240" t="str">
            <v>XMBZ2024001</v>
          </cell>
          <cell r="D240">
            <v>45292</v>
          </cell>
          <cell r="E240">
            <v>46022</v>
          </cell>
        </row>
        <row r="241">
          <cell r="A241" t="str">
            <v>上海卓安信息科技有限公司</v>
          </cell>
          <cell r="B241" t="str">
            <v>推广合作协议</v>
          </cell>
          <cell r="C241" t="str">
            <v>XMBZ2024002</v>
          </cell>
          <cell r="D241">
            <v>45292</v>
          </cell>
          <cell r="E241">
            <v>46022</v>
          </cell>
        </row>
        <row r="242">
          <cell r="A242" t="str">
            <v>广州海岛网络有限公司</v>
          </cell>
          <cell r="B242" t="str">
            <v>Android游戏SDK联运合作合同</v>
          </cell>
          <cell r="C242" t="str">
            <v>XMBZ2024003</v>
          </cell>
          <cell r="D242">
            <v>45296</v>
          </cell>
          <cell r="E242">
            <v>46391</v>
          </cell>
        </row>
        <row r="243">
          <cell r="A243" t="str">
            <v>广州鱼玩网络科技有限公司</v>
          </cell>
          <cell r="B243" t="str">
            <v>Android游戏SDK联运合作合同</v>
          </cell>
          <cell r="C243" t="str">
            <v>XMBZ2024004</v>
          </cell>
          <cell r="D243">
            <v>45294</v>
          </cell>
          <cell r="E243">
            <v>46754</v>
          </cell>
        </row>
        <row r="244">
          <cell r="A244" t="str">
            <v>广州京游网络科技有限公司</v>
          </cell>
          <cell r="B244" t="str">
            <v>产品推广合作协议（CPS）</v>
          </cell>
          <cell r="C244" t="str">
            <v>XMBZ2024005</v>
          </cell>
          <cell r="D244">
            <v>45321</v>
          </cell>
          <cell r="E244">
            <v>46416</v>
          </cell>
        </row>
        <row r="245">
          <cell r="A245" t="str">
            <v>上海米哈游影铁科技有限公司</v>
          </cell>
          <cell r="B245" t="str">
            <v>信息推广服务框架合同</v>
          </cell>
          <cell r="C245" t="str">
            <v>XMBZ2024006</v>
          </cell>
          <cell r="D245">
            <v>45292</v>
          </cell>
          <cell r="E245">
            <v>45658</v>
          </cell>
        </row>
        <row r="246">
          <cell r="A246" t="str">
            <v>上海畅指网络科技有限公司</v>
          </cell>
          <cell r="B246" t="str">
            <v>《元气骑士》手机游戏联运合作协议</v>
          </cell>
          <cell r="C246" t="str">
            <v>XMBZ2024007</v>
          </cell>
          <cell r="D246">
            <v>45303</v>
          </cell>
          <cell r="E246">
            <v>46022</v>
          </cell>
        </row>
        <row r="247">
          <cell r="A247" t="str">
            <v>微风互动（成都）科技有限公司</v>
          </cell>
          <cell r="B247" t="str">
            <v>推广合作协议</v>
          </cell>
          <cell r="C247" t="str">
            <v>XMBZ2024008</v>
          </cell>
          <cell r="D247">
            <v>45292</v>
          </cell>
          <cell r="E247">
            <v>45659</v>
          </cell>
        </row>
        <row r="248">
          <cell r="A248" t="str">
            <v>广州时元网络信息科技有限公司</v>
          </cell>
          <cell r="B248" t="str">
            <v>Android游戏SDK联运合作合同</v>
          </cell>
          <cell r="C248" t="str">
            <v>XMBZ2024009</v>
          </cell>
          <cell r="D248">
            <v>45356</v>
          </cell>
          <cell r="E248">
            <v>46450</v>
          </cell>
        </row>
        <row r="249">
          <cell r="A249" t="str">
            <v>艾七（上海）科技有限公司</v>
          </cell>
          <cell r="B249" t="str">
            <v>Android游戏SDK联运合作合同</v>
          </cell>
          <cell r="C249" t="str">
            <v>XMBZ2024010</v>
          </cell>
          <cell r="D249">
            <v>45358</v>
          </cell>
          <cell r="E249">
            <v>46452</v>
          </cell>
        </row>
        <row r="250">
          <cell r="A250" t="str">
            <v>成都欢聚游科技有限公司</v>
          </cell>
          <cell r="B250" t="str">
            <v>主体变更协议</v>
          </cell>
          <cell r="C250" t="str">
            <v>XMBZ2024011</v>
          </cell>
          <cell r="D250">
            <v>45413</v>
          </cell>
          <cell r="E250">
            <v>46231</v>
          </cell>
        </row>
        <row r="251">
          <cell r="A251" t="str">
            <v>广州叁游网络科技有限公司</v>
          </cell>
          <cell r="B251" t="str">
            <v>Android游戏SDK联运合作合同</v>
          </cell>
          <cell r="C251" t="str">
            <v>XMBZ2024012</v>
          </cell>
          <cell r="D251">
            <v>45292</v>
          </cell>
          <cell r="E251">
            <v>46753</v>
          </cell>
        </row>
        <row r="252">
          <cell r="A252" t="str">
            <v>上海鹰角网络科技有限公司</v>
          </cell>
          <cell r="B252" t="str">
            <v>广告发布服务协议</v>
          </cell>
          <cell r="C252" t="str">
            <v>XMBZ2024013</v>
          </cell>
          <cell r="D252">
            <v>45355</v>
          </cell>
          <cell r="E252">
            <v>45719</v>
          </cell>
        </row>
        <row r="253">
          <cell r="A253" t="str">
            <v>贵阳星期六网络科技有限公司</v>
          </cell>
          <cell r="B253" t="str">
            <v>Android游戏SDK联运合作合同</v>
          </cell>
          <cell r="C253" t="str">
            <v>XMBZ2024014</v>
          </cell>
          <cell r="D253">
            <v>45359</v>
          </cell>
          <cell r="E253">
            <v>46453</v>
          </cell>
        </row>
        <row r="254">
          <cell r="A254" t="str">
            <v>西安趣多网络科技有限公司</v>
          </cell>
          <cell r="B254" t="str">
            <v>Android游戏SDK联运合作合同</v>
          </cell>
          <cell r="C254" t="str">
            <v>XMBZ2024015</v>
          </cell>
          <cell r="D254">
            <v>45316</v>
          </cell>
          <cell r="E254">
            <v>46776</v>
          </cell>
        </row>
        <row r="255">
          <cell r="A255" t="str">
            <v>拓维信息系统股份有限公司</v>
          </cell>
          <cell r="B255" t="str">
            <v>Android游戏SDK联运合作合同</v>
          </cell>
          <cell r="C255" t="str">
            <v>XMBZ2024016</v>
          </cell>
          <cell r="D255">
            <v>45361</v>
          </cell>
          <cell r="E255">
            <v>46822</v>
          </cell>
        </row>
        <row r="256">
          <cell r="A256" t="str">
            <v>趣游（厦门）科技有限公司</v>
          </cell>
          <cell r="B256" t="str">
            <v>Android游戏SDK联运合作合同</v>
          </cell>
          <cell r="C256" t="str">
            <v>XMBZ2024017</v>
          </cell>
          <cell r="D256">
            <v>45380</v>
          </cell>
          <cell r="E256">
            <v>46840</v>
          </cell>
        </row>
        <row r="257">
          <cell r="A257" t="str">
            <v>海南新视互动网络科技有限公司</v>
          </cell>
          <cell r="B257" t="str">
            <v>推广合作协议</v>
          </cell>
          <cell r="C257" t="str">
            <v>XMBZ2024018</v>
          </cell>
          <cell r="D257">
            <v>45352</v>
          </cell>
          <cell r="E257">
            <v>45716</v>
          </cell>
        </row>
        <row r="258">
          <cell r="A258" t="str">
            <v>广州易浪网络科技有限公司</v>
          </cell>
          <cell r="B258" t="str">
            <v>Android游戏SDK联运合作合同</v>
          </cell>
          <cell r="C258" t="str">
            <v>XMBZ2024019</v>
          </cell>
          <cell r="D258">
            <v>45292</v>
          </cell>
          <cell r="E258">
            <v>46752</v>
          </cell>
        </row>
        <row r="259">
          <cell r="A259" t="str">
            <v>咪咕互动娱乐有限公司</v>
          </cell>
          <cell r="B259" t="str">
            <v>Android游戏SDK联运合作合同</v>
          </cell>
          <cell r="C259" t="str">
            <v>XMBZ2024020</v>
          </cell>
          <cell r="D259">
            <v>45400</v>
          </cell>
          <cell r="E259">
            <v>46129</v>
          </cell>
        </row>
        <row r="260">
          <cell r="A260" t="str">
            <v>海南红橙时代科技有限公司</v>
          </cell>
          <cell r="B260" t="str">
            <v>推广合作协议</v>
          </cell>
          <cell r="C260" t="str">
            <v>XMBZ2024021</v>
          </cell>
          <cell r="D260">
            <v>45292</v>
          </cell>
          <cell r="E260">
            <v>45657</v>
          </cell>
        </row>
        <row r="261">
          <cell r="A261" t="str">
            <v>深圳悠悠互动科技有限公司</v>
          </cell>
          <cell r="B261" t="str">
            <v>Android游戏SDK联运合作合同</v>
          </cell>
          <cell r="C261" t="str">
            <v>XMBZ2024022</v>
          </cell>
          <cell r="D261">
            <v>45377</v>
          </cell>
          <cell r="E261">
            <v>46471</v>
          </cell>
        </row>
        <row r="262">
          <cell r="A262" t="str">
            <v>厦门缪力安网络科技有限公司</v>
          </cell>
          <cell r="B262" t="str">
            <v>Android游戏SDK联运合作合同+产品主体变更协议</v>
          </cell>
          <cell r="C262" t="str">
            <v>XMBZ2024023</v>
          </cell>
          <cell r="D262">
            <v>45386</v>
          </cell>
          <cell r="E262">
            <v>46477</v>
          </cell>
        </row>
        <row r="263">
          <cell r="A263" t="str">
            <v>北京乐游阳光科技有限公司</v>
          </cell>
          <cell r="B263" t="str">
            <v>移动信息推广合作协议+续签协议</v>
          </cell>
          <cell r="C263" t="str">
            <v>XMBZ2024024</v>
          </cell>
          <cell r="D263">
            <v>45407</v>
          </cell>
          <cell r="E263">
            <v>45961</v>
          </cell>
        </row>
        <row r="264">
          <cell r="A264" t="str">
            <v>竞技世界（成都）网络技术有限公司</v>
          </cell>
          <cell r="B264" t="str">
            <v>CPS联运推广协议-热血街篮</v>
          </cell>
          <cell r="C264" t="str">
            <v>XMBZ2024025</v>
          </cell>
          <cell r="D264">
            <v>45398</v>
          </cell>
          <cell r="E264">
            <v>45762</v>
          </cell>
        </row>
        <row r="265">
          <cell r="A265" t="str">
            <v>广州星玩网络科技有限公司</v>
          </cell>
          <cell r="B265" t="str">
            <v>Android游戏SDK联运合作合同</v>
          </cell>
          <cell r="C265" t="str">
            <v>XMBZ2024026</v>
          </cell>
          <cell r="D265">
            <v>45399</v>
          </cell>
          <cell r="E265">
            <v>46493</v>
          </cell>
        </row>
        <row r="266">
          <cell r="A266" t="str">
            <v>广州营创科技有限公司</v>
          </cell>
          <cell r="B266" t="str">
            <v>Android游戏SDK联运合作合同</v>
          </cell>
          <cell r="C266" t="str">
            <v>XMBZ2024027</v>
          </cell>
          <cell r="D266">
            <v>45323</v>
          </cell>
          <cell r="E266">
            <v>46783</v>
          </cell>
        </row>
        <row r="267">
          <cell r="A267" t="str">
            <v>海南三游网络科技有限公司</v>
          </cell>
          <cell r="B267" t="str">
            <v>Android游戏SDK联运合作合同+合同主体三方变更协议（成娱变更到三游）</v>
          </cell>
          <cell r="C267" t="str">
            <v>XMBZ2024028</v>
          </cell>
          <cell r="D267">
            <v>45371</v>
          </cell>
          <cell r="E267">
            <v>46465</v>
          </cell>
        </row>
        <row r="268">
          <cell r="A268" t="str">
            <v>创泰（锦州）网络科技有限公司</v>
          </cell>
          <cell r="B268" t="str">
            <v>Android游戏SDK联运合作合同</v>
          </cell>
          <cell r="C268" t="str">
            <v>XMBZ2024029</v>
          </cell>
          <cell r="D268">
            <v>45412</v>
          </cell>
          <cell r="E268">
            <v>46506</v>
          </cell>
        </row>
        <row r="269">
          <cell r="A269" t="str">
            <v>深圳星云时空科技有限公司</v>
          </cell>
          <cell r="B269" t="str">
            <v>Android游戏SDK联运合作合同</v>
          </cell>
          <cell r="C269" t="str">
            <v>XMBZ2024030</v>
          </cell>
          <cell r="D269">
            <v>45405</v>
          </cell>
          <cell r="E269">
            <v>46499</v>
          </cell>
        </row>
        <row r="270">
          <cell r="A270" t="str">
            <v>厦门星汉天成网络科技有限公司</v>
          </cell>
          <cell r="B270" t="str">
            <v>Android游戏SDK联运合作合同</v>
          </cell>
          <cell r="C270" t="str">
            <v>XMBZ2024031</v>
          </cell>
          <cell r="D270">
            <v>45408</v>
          </cell>
          <cell r="E270">
            <v>46461</v>
          </cell>
        </row>
        <row r="271">
          <cell r="A271" t="str">
            <v>厦门三七三三网络科技有限公司</v>
          </cell>
          <cell r="B271" t="str">
            <v>游戏产品接入清单&amp;运营授权书（第七幻域）</v>
          </cell>
          <cell r="C271" t="str">
            <v>XMBZ2024032</v>
          </cell>
          <cell r="D271">
            <v>45399</v>
          </cell>
          <cell r="E271">
            <v>45605</v>
          </cell>
        </row>
        <row r="272">
          <cell r="A272" t="str">
            <v>深圳市掌信传媒科技有限公司</v>
          </cell>
          <cell r="B272" t="str">
            <v>腾讯小游戏广告推广资源合作协议</v>
          </cell>
          <cell r="C272" t="str">
            <v>XMBZ2024033</v>
          </cell>
          <cell r="D272">
            <v>45405</v>
          </cell>
          <cell r="E272">
            <v>45769</v>
          </cell>
        </row>
        <row r="273">
          <cell r="A273" t="str">
            <v>深圳市游梦飞扬科技有限公司</v>
          </cell>
          <cell r="B273" t="str">
            <v>Android游戏SDK联运合作合同</v>
          </cell>
          <cell r="C273" t="str">
            <v>XMBZ2024034</v>
          </cell>
          <cell r="D273">
            <v>45376</v>
          </cell>
          <cell r="E273">
            <v>46470</v>
          </cell>
        </row>
        <row r="274">
          <cell r="A274" t="str">
            <v>广州云游天下网络技术有限公司</v>
          </cell>
          <cell r="B274" t="str">
            <v>Android游戏SDK联运合作合同</v>
          </cell>
          <cell r="C274" t="str">
            <v>XMBZ2024035</v>
          </cell>
          <cell r="D274">
            <v>45383</v>
          </cell>
          <cell r="E274">
            <v>46843</v>
          </cell>
        </row>
        <row r="275">
          <cell r="A275" t="str">
            <v>深圳市放肆玩网络科技有限公司</v>
          </cell>
          <cell r="B275" t="str">
            <v>Android游戏SDK联运合作合同</v>
          </cell>
          <cell r="C275" t="str">
            <v>XMBZ2024036</v>
          </cell>
          <cell r="D275">
            <v>45401</v>
          </cell>
          <cell r="E275">
            <v>46495</v>
          </cell>
        </row>
        <row r="276">
          <cell r="A276" t="str">
            <v>江苏千幻数字科技有限公司</v>
          </cell>
          <cell r="B276" t="str">
            <v>Android游戏SDK联运合作合同</v>
          </cell>
          <cell r="C276" t="str">
            <v>XMBZ2024037</v>
          </cell>
          <cell r="D276">
            <v>45432</v>
          </cell>
          <cell r="E276">
            <v>46526</v>
          </cell>
        </row>
        <row r="277">
          <cell r="A277" t="str">
            <v>北京朔羲网络科技有限公司</v>
          </cell>
          <cell r="B277" t="str">
            <v>手机游戏联合运营合作协议</v>
          </cell>
          <cell r="C277" t="str">
            <v>XMBZ2024038</v>
          </cell>
          <cell r="D277">
            <v>45420</v>
          </cell>
          <cell r="E277">
            <v>46477</v>
          </cell>
        </row>
        <row r="278">
          <cell r="A278" t="str">
            <v>广州掌跃网络科技有限公司</v>
          </cell>
          <cell r="B278" t="str">
            <v>Android游戏SDK联运合作合同</v>
          </cell>
          <cell r="C278" t="str">
            <v>XMBZ2024039</v>
          </cell>
          <cell r="D278">
            <v>45099</v>
          </cell>
          <cell r="E278">
            <v>46559</v>
          </cell>
        </row>
        <row r="279">
          <cell r="A279" t="str">
            <v>台州市游小乐信息技术有限公司</v>
          </cell>
          <cell r="B279" t="str">
            <v>产品推广合作协议（CPS）（我方甲方）</v>
          </cell>
          <cell r="C279" t="str">
            <v>XMBZ2024040</v>
          </cell>
          <cell r="D279">
            <v>45441</v>
          </cell>
          <cell r="E279">
            <v>46535</v>
          </cell>
        </row>
        <row r="280">
          <cell r="A280" t="str">
            <v>海南幻乐网络科技有限公司</v>
          </cell>
          <cell r="B280" t="str">
            <v>Android游戏SDK联运合作合同</v>
          </cell>
          <cell r="C280" t="str">
            <v>XMBZ2024041</v>
          </cell>
          <cell r="D280">
            <v>45385</v>
          </cell>
          <cell r="E280">
            <v>46845</v>
          </cell>
        </row>
        <row r="281">
          <cell r="A281" t="str">
            <v>广州森潇网络科技有限公司</v>
          </cell>
          <cell r="B281" t="str">
            <v>Android游戏SDK联运合作合同</v>
          </cell>
          <cell r="C281" t="str">
            <v>XMBZ2024042</v>
          </cell>
          <cell r="D281">
            <v>45435</v>
          </cell>
          <cell r="E281">
            <v>46529</v>
          </cell>
        </row>
        <row r="282">
          <cell r="A282" t="str">
            <v>海南猎魔人网络科技有限公司</v>
          </cell>
          <cell r="B282" t="str">
            <v>Android游戏SDK联运合作合同</v>
          </cell>
          <cell r="C282" t="str">
            <v>XMBZ2024043</v>
          </cell>
          <cell r="D282">
            <v>45399</v>
          </cell>
          <cell r="E282">
            <v>46493</v>
          </cell>
        </row>
        <row r="283">
          <cell r="A283" t="str">
            <v>广州热游网络科技有限公司</v>
          </cell>
          <cell r="B283" t="str">
            <v>Android游戏SDK联运合作合同</v>
          </cell>
          <cell r="C283" t="str">
            <v>XMBZ2024044</v>
          </cell>
          <cell r="D283">
            <v>45413</v>
          </cell>
          <cell r="E283">
            <v>46507</v>
          </cell>
        </row>
        <row r="284">
          <cell r="A284" t="str">
            <v>厦门娱人工匠网络科技有限公司</v>
          </cell>
          <cell r="B284" t="str">
            <v>Android游戏SDK联运合作合同</v>
          </cell>
          <cell r="C284" t="str">
            <v>XMBZ2024045</v>
          </cell>
          <cell r="D284">
            <v>45455</v>
          </cell>
          <cell r="E284">
            <v>46549</v>
          </cell>
        </row>
        <row r="285">
          <cell r="A285" t="str">
            <v>天津联娱科技有限公司</v>
          </cell>
          <cell r="B285" t="str">
            <v>合作推广协议（CPA）（甲方）</v>
          </cell>
          <cell r="C285" t="str">
            <v>XMBZ2024046</v>
          </cell>
          <cell r="D285">
            <v>45292</v>
          </cell>
          <cell r="E285">
            <v>46022</v>
          </cell>
        </row>
        <row r="286">
          <cell r="A286" t="str">
            <v>上海飞浔网络科技有限公司</v>
          </cell>
          <cell r="B286" t="str">
            <v>产品接入合作框架协议+单次合作产品接入协议（姚记捕鱼）</v>
          </cell>
          <cell r="C286" t="str">
            <v>XMBZ2024047</v>
          </cell>
          <cell r="D286">
            <v>45200</v>
          </cell>
          <cell r="E286">
            <v>45565</v>
          </cell>
        </row>
        <row r="287">
          <cell r="A287" t="str">
            <v>布里奇顿（北京）科技有限公司</v>
          </cell>
          <cell r="B287" t="str">
            <v>合作推广协议（CPA）（甲方）</v>
          </cell>
          <cell r="C287" t="str">
            <v>XMBZ2024048</v>
          </cell>
          <cell r="D287">
            <v>45413</v>
          </cell>
          <cell r="E287">
            <v>45778</v>
          </cell>
        </row>
        <row r="288">
          <cell r="A288" t="str">
            <v>武汉乐蜀网络科技有限公司</v>
          </cell>
          <cell r="B288" t="str">
            <v>产品推广合作协议（CPS）（我方甲方）</v>
          </cell>
          <cell r="C288" t="str">
            <v>XMBZ2024049</v>
          </cell>
          <cell r="D288">
            <v>45454</v>
          </cell>
          <cell r="E288">
            <v>46548</v>
          </cell>
        </row>
        <row r="289">
          <cell r="A289" t="str">
            <v>杭州游乾网络科技有限公司</v>
          </cell>
          <cell r="B289" t="str">
            <v>Android游戏SDK联运合作合同</v>
          </cell>
          <cell r="C289" t="str">
            <v>XMBZ2024050</v>
          </cell>
          <cell r="D289">
            <v>45402</v>
          </cell>
          <cell r="E289">
            <v>46862</v>
          </cell>
        </row>
        <row r="290">
          <cell r="A290" t="str">
            <v>广州凌禹网络科技有限公司</v>
          </cell>
          <cell r="B290" t="str">
            <v>Android游戏SDK联运合作合同</v>
          </cell>
          <cell r="C290" t="str">
            <v>XMBZ2024051</v>
          </cell>
          <cell r="D290">
            <v>45407</v>
          </cell>
          <cell r="E290">
            <v>46867</v>
          </cell>
        </row>
        <row r="291">
          <cell r="A291" t="str">
            <v>深圳云步互娱网络科技有限公司</v>
          </cell>
          <cell r="B291" t="str">
            <v>推广合作协议（CPS）内购</v>
          </cell>
          <cell r="C291" t="str">
            <v>XMBZ2024052</v>
          </cell>
          <cell r="D291">
            <v>45426</v>
          </cell>
          <cell r="E291">
            <v>46155</v>
          </cell>
        </row>
        <row r="292">
          <cell r="A292" t="str">
            <v>绍兴联辉网络科技有限公司</v>
          </cell>
          <cell r="B292" t="str">
            <v>Android游戏SDK联运合作合同</v>
          </cell>
          <cell r="C292" t="str">
            <v>XMBZ2024053</v>
          </cell>
          <cell r="D292">
            <v>45434</v>
          </cell>
          <cell r="E292">
            <v>47260</v>
          </cell>
        </row>
        <row r="293">
          <cell r="A293" t="str">
            <v>湖州雷斧信息科技有限公司</v>
          </cell>
          <cell r="B293" t="str">
            <v>Android游戏SDK联运合作合同+分成协议（《像素射击》分发渠道）+运营授权书</v>
          </cell>
          <cell r="C293" t="str">
            <v>XMBZ2024054</v>
          </cell>
          <cell r="D293">
            <v>45474</v>
          </cell>
          <cell r="E293">
            <v>46568</v>
          </cell>
        </row>
        <row r="294">
          <cell r="A294" t="str">
            <v>深圳市迈卓软件有限公司</v>
          </cell>
          <cell r="B294" t="str">
            <v>Android游戏SDK联运合作合同</v>
          </cell>
          <cell r="C294" t="str">
            <v>XMBZ2024055</v>
          </cell>
          <cell r="D294">
            <v>45474</v>
          </cell>
          <cell r="E294">
            <v>46568</v>
          </cell>
        </row>
        <row r="295">
          <cell r="A295" t="str">
            <v>武汉全方易维网络科技有限公司</v>
          </cell>
          <cell r="B295" t="str">
            <v>Android游戏SDK联运合作合同</v>
          </cell>
          <cell r="C295" t="str">
            <v>XMBZ2024056</v>
          </cell>
          <cell r="D295">
            <v>45421</v>
          </cell>
          <cell r="E295">
            <v>46515</v>
          </cell>
        </row>
        <row r="296">
          <cell r="A296" t="str">
            <v>厦门游琼喜网络科技有限公司</v>
          </cell>
          <cell r="B296" t="str">
            <v>Android游戏SDK联运合作合同</v>
          </cell>
          <cell r="C296" t="str">
            <v>XMBZ2024057</v>
          </cell>
          <cell r="D296">
            <v>45469</v>
          </cell>
          <cell r="E296">
            <v>46563</v>
          </cell>
        </row>
        <row r="297">
          <cell r="A297" t="str">
            <v>厦门亿叁游网络科技有限公司</v>
          </cell>
          <cell r="B297" t="str">
            <v>Android游戏SDK联运合作合同+产品合作主体变更协议</v>
          </cell>
          <cell r="C297" t="str">
            <v>XMBZ2024058</v>
          </cell>
          <cell r="D297">
            <v>45444</v>
          </cell>
          <cell r="E297">
            <v>46538</v>
          </cell>
        </row>
        <row r="298">
          <cell r="A298" t="str">
            <v>合肥乐堂网络有限公司</v>
          </cell>
          <cell r="B298" t="str">
            <v>Android游戏SDK联运合作合同</v>
          </cell>
          <cell r="C298" t="str">
            <v>XMBZ2024060</v>
          </cell>
          <cell r="D298">
            <v>45444</v>
          </cell>
          <cell r="E298">
            <v>46904</v>
          </cell>
        </row>
        <row r="299">
          <cell r="A299" t="str">
            <v>上海醇玩网络科技有限公司</v>
          </cell>
          <cell r="B299" t="str">
            <v>Android游戏SDK联运合作合同</v>
          </cell>
          <cell r="C299" t="str">
            <v>XMBZ2024061</v>
          </cell>
          <cell r="D299">
            <v>45485</v>
          </cell>
          <cell r="E299">
            <v>46579</v>
          </cell>
        </row>
        <row r="300">
          <cell r="A300" t="str">
            <v>海南圣炫科技有限公司</v>
          </cell>
          <cell r="B300" t="str">
            <v>Android游戏SDK联运合作合同</v>
          </cell>
          <cell r="C300" t="str">
            <v>XMBZ2024063</v>
          </cell>
          <cell r="D300">
            <v>45444</v>
          </cell>
          <cell r="E300">
            <v>46538</v>
          </cell>
        </row>
        <row r="301">
          <cell r="A301" t="str">
            <v>海南燃猫网络科技有限公司</v>
          </cell>
          <cell r="B301" t="str">
            <v>Android游戏SDK联运合作合同</v>
          </cell>
          <cell r="C301" t="str">
            <v>XMBZ2024064</v>
          </cell>
          <cell r="D301">
            <v>45503</v>
          </cell>
          <cell r="E301">
            <v>46963</v>
          </cell>
        </row>
        <row r="302">
          <cell r="A302" t="str">
            <v>上海追戏网络科技有限公司</v>
          </cell>
          <cell r="B302" t="str">
            <v>Android游戏SDK联运合作合同</v>
          </cell>
          <cell r="C302" t="str">
            <v>XMBZ2024065</v>
          </cell>
          <cell r="D302">
            <v>45457</v>
          </cell>
          <cell r="E302">
            <v>45821</v>
          </cell>
        </row>
        <row r="303">
          <cell r="A303" t="str">
            <v>成都游鑫互娱网络科技有限公司</v>
          </cell>
          <cell r="B303" t="str">
            <v>Android游戏SDK联运合作合同</v>
          </cell>
          <cell r="C303" t="str">
            <v>XMBZ2024066</v>
          </cell>
          <cell r="D303">
            <v>44805</v>
          </cell>
          <cell r="E303">
            <v>46996</v>
          </cell>
        </row>
        <row r="304">
          <cell r="A304" t="str">
            <v>长沙封阳网络科技有限公司</v>
          </cell>
          <cell r="B304" t="str">
            <v>Android游戏SDK联运合作合同</v>
          </cell>
          <cell r="C304" t="str">
            <v>XMBZ2024067</v>
          </cell>
          <cell r="D304">
            <v>45498</v>
          </cell>
          <cell r="E304">
            <v>46592</v>
          </cell>
        </row>
        <row r="305">
          <cell r="A305" t="str">
            <v>厦门维虎网络科技有限公司</v>
          </cell>
          <cell r="B305" t="str">
            <v>产品推广服务合同【CC加速器CPS】</v>
          </cell>
          <cell r="C305" t="str">
            <v>XMBZ2024068</v>
          </cell>
          <cell r="D305">
            <v>45292</v>
          </cell>
          <cell r="E305">
            <v>46022</v>
          </cell>
        </row>
        <row r="306">
          <cell r="A306" t="str">
            <v>厦门维虎网络科技有限公司</v>
          </cell>
          <cell r="B306" t="str">
            <v>产品推广服务合同【追风加速器CPS】</v>
          </cell>
          <cell r="C306" t="str">
            <v>XMBZ2024069</v>
          </cell>
          <cell r="D306">
            <v>45292</v>
          </cell>
          <cell r="E306">
            <v>46022</v>
          </cell>
        </row>
        <row r="307">
          <cell r="A307" t="str">
            <v>深圳市潮游科技有限公司</v>
          </cell>
          <cell r="B307" t="str">
            <v>Android游戏SDK联运合作合同</v>
          </cell>
          <cell r="C307" t="str">
            <v>XMBZ2024070</v>
          </cell>
          <cell r="D307">
            <v>45493</v>
          </cell>
          <cell r="E307">
            <v>46587</v>
          </cell>
        </row>
        <row r="308">
          <cell r="A308" t="str">
            <v>海南千瀚科技有限公司</v>
          </cell>
          <cell r="B308" t="str">
            <v>Android游戏SDK联运合作合同</v>
          </cell>
          <cell r="C308" t="str">
            <v>XMBZ2024071</v>
          </cell>
          <cell r="D308">
            <v>45017</v>
          </cell>
          <cell r="E308">
            <v>46843</v>
          </cell>
        </row>
        <row r="309">
          <cell r="A309" t="str">
            <v>厦门拍高高科技有限公司</v>
          </cell>
          <cell r="B309" t="str">
            <v>Android游戏SDK联运合作合同</v>
          </cell>
          <cell r="C309" t="str">
            <v>XMBZ2024072</v>
          </cell>
          <cell r="D309">
            <v>45517</v>
          </cell>
          <cell r="E309">
            <v>46611</v>
          </cell>
        </row>
        <row r="310">
          <cell r="A310" t="str">
            <v>台州市游小乐信息技术有限公司</v>
          </cell>
          <cell r="B310" t="str">
            <v>推广合作协议（我方甲方）-CPA</v>
          </cell>
          <cell r="C310" t="str">
            <v>XMBZ2024073</v>
          </cell>
          <cell r="D310">
            <v>45518</v>
          </cell>
          <cell r="E310">
            <v>46247</v>
          </cell>
        </row>
        <row r="311">
          <cell r="A311" t="str">
            <v>海南欢朋网络科技有限公司</v>
          </cell>
          <cell r="B311" t="str">
            <v>Android游戏SDK联运合作合同</v>
          </cell>
          <cell r="C311" t="str">
            <v>XMBZ2024074</v>
          </cell>
          <cell r="D311">
            <v>45497</v>
          </cell>
          <cell r="E311">
            <v>45861</v>
          </cell>
        </row>
        <row r="312">
          <cell r="A312" t="str">
            <v>长沙质飒网络科技有限公司</v>
          </cell>
          <cell r="B312" t="str">
            <v>Android游戏SDK联运合作合同</v>
          </cell>
          <cell r="C312" t="str">
            <v>XMBZ2024075</v>
          </cell>
          <cell r="D312">
            <v>45518</v>
          </cell>
          <cell r="E312">
            <v>46612</v>
          </cell>
        </row>
        <row r="313">
          <cell r="A313" t="str">
            <v>海南爆游科技有限公司</v>
          </cell>
          <cell r="B313" t="str">
            <v>Android游戏SDK联运合作合同</v>
          </cell>
          <cell r="C313" t="str">
            <v>XMBZ2024076</v>
          </cell>
          <cell r="D313">
            <v>45531</v>
          </cell>
          <cell r="E313">
            <v>46625</v>
          </cell>
        </row>
        <row r="314">
          <cell r="A314" t="str">
            <v>广州樱桃派对文化发展有限公司</v>
          </cell>
          <cell r="B314" t="str">
            <v>合作服务框架合同</v>
          </cell>
          <cell r="C314" t="str">
            <v>XMBZ2024077</v>
          </cell>
          <cell r="D314">
            <v>45566</v>
          </cell>
          <cell r="E314">
            <v>45930</v>
          </cell>
        </row>
        <row r="315">
          <cell r="A315" t="str">
            <v>无锡小树林网络科技有限公司</v>
          </cell>
          <cell r="B315" t="str">
            <v>Android游戏SDK联运合作合同</v>
          </cell>
          <cell r="C315" t="str">
            <v>XMBZ2024078</v>
          </cell>
          <cell r="D315">
            <v>45516</v>
          </cell>
          <cell r="E315">
            <v>46610</v>
          </cell>
        </row>
        <row r="316">
          <cell r="A316" t="str">
            <v>深圳天下创想科技有限公司</v>
          </cell>
          <cell r="B316" t="str">
            <v>网络信息推广服务合同+独代授权证明（7723游戏盒）</v>
          </cell>
          <cell r="C316" t="str">
            <v>XMBZ2024079</v>
          </cell>
          <cell r="D316">
            <v>45536</v>
          </cell>
          <cell r="E316">
            <v>45900</v>
          </cell>
        </row>
        <row r="317">
          <cell r="A317" t="str">
            <v>广州诚一信息技术有限公司</v>
          </cell>
          <cell r="B317" t="str">
            <v>Android游戏SDK联运合作合同</v>
          </cell>
          <cell r="C317" t="str">
            <v>XMBZ2024080</v>
          </cell>
          <cell r="D317">
            <v>45523</v>
          </cell>
          <cell r="E317">
            <v>46617</v>
          </cell>
        </row>
        <row r="318">
          <cell r="A318" t="str">
            <v>成都魂动天下网络科技有限公司</v>
          </cell>
          <cell r="B318" t="str">
            <v>Android游戏SDK联运合作合同</v>
          </cell>
          <cell r="C318" t="str">
            <v>XMBZ2024081</v>
          </cell>
          <cell r="D318">
            <v>45489</v>
          </cell>
          <cell r="E318">
            <v>46949</v>
          </cell>
        </row>
        <row r="319">
          <cell r="A319" t="str">
            <v>成都嘉谊互娱科技有限公司</v>
          </cell>
          <cell r="B319" t="str">
            <v>产品推广合作协议（CPS）</v>
          </cell>
          <cell r="C319" t="str">
            <v>XMBZ2024082</v>
          </cell>
          <cell r="D319">
            <v>45489</v>
          </cell>
          <cell r="E319">
            <v>46949</v>
          </cell>
        </row>
        <row r="320">
          <cell r="A320" t="str">
            <v>广州骅穗网络科技有限公司</v>
          </cell>
          <cell r="B320" t="str">
            <v>Android游戏SDK联运合作合同</v>
          </cell>
          <cell r="C320" t="str">
            <v>XMBZ2024083</v>
          </cell>
          <cell r="D320">
            <v>45540</v>
          </cell>
          <cell r="E320">
            <v>46634</v>
          </cell>
        </row>
        <row r="321">
          <cell r="A321" t="str">
            <v>安徽趣满网络科技有限公司</v>
          </cell>
          <cell r="B321" t="str">
            <v>Android游戏SDK联运合作合同</v>
          </cell>
          <cell r="C321" t="str">
            <v>XMBZ2024084</v>
          </cell>
          <cell r="D321">
            <v>45474</v>
          </cell>
          <cell r="E321">
            <v>46568</v>
          </cell>
        </row>
        <row r="322">
          <cell r="A322" t="str">
            <v>厦门珊瑚潮玩科技有限公司</v>
          </cell>
          <cell r="B322" t="str">
            <v>Android游戏SDK联运合作合同</v>
          </cell>
          <cell r="C322" t="str">
            <v>XMBZ2024085</v>
          </cell>
          <cell r="D322">
            <v>45548</v>
          </cell>
          <cell r="E322">
            <v>47008</v>
          </cell>
        </row>
        <row r="323">
          <cell r="A323" t="str">
            <v>广州安比科技有限公司</v>
          </cell>
          <cell r="B323" t="str">
            <v>巴掌互动&amp;TestBirdT优化服务框架合同</v>
          </cell>
          <cell r="C323" t="str">
            <v>XMBZ2024086</v>
          </cell>
          <cell r="D323">
            <v>45546</v>
          </cell>
          <cell r="E323">
            <v>45910</v>
          </cell>
        </row>
        <row r="324">
          <cell r="A324" t="str">
            <v>海南寰城信息科技有限公司</v>
          </cell>
          <cell r="B324" t="str">
            <v>Android游戏SDK联运合作合同</v>
          </cell>
          <cell r="C324" t="str">
            <v>XMBZ2024087</v>
          </cell>
          <cell r="D324">
            <v>45474</v>
          </cell>
          <cell r="E324">
            <v>45838</v>
          </cell>
        </row>
        <row r="325">
          <cell r="A325" t="str">
            <v>互爱互动（北京）科技有限公司</v>
          </cell>
          <cell r="B325" t="str">
            <v>手机游戏联合运营合作协议+终止协议</v>
          </cell>
          <cell r="C325" t="str">
            <v>XMBZ2024088</v>
          </cell>
          <cell r="D325">
            <v>45420</v>
          </cell>
          <cell r="E325">
            <v>45784</v>
          </cell>
        </row>
        <row r="326">
          <cell r="A326" t="str">
            <v>广州嘉玩网络科技有限公司</v>
          </cell>
          <cell r="B326" t="str">
            <v>Android游戏SDK联运合作合同</v>
          </cell>
          <cell r="C326" t="str">
            <v>XMBZ2024089</v>
          </cell>
          <cell r="D326">
            <v>45502</v>
          </cell>
          <cell r="E326">
            <v>46596</v>
          </cell>
        </row>
        <row r="327">
          <cell r="A327" t="str">
            <v>广州天海网络科技有限公司</v>
          </cell>
          <cell r="B327" t="str">
            <v>Android游戏SDK联运合作合同</v>
          </cell>
          <cell r="C327" t="str">
            <v>XMBZ2024090</v>
          </cell>
          <cell r="D327">
            <v>45536</v>
          </cell>
          <cell r="E327">
            <v>46996</v>
          </cell>
        </row>
        <row r="328">
          <cell r="A328" t="str">
            <v>上海寅斌信息技术有限公司</v>
          </cell>
          <cell r="B328" t="str">
            <v>Android游戏SDK联运合作合同</v>
          </cell>
          <cell r="C328" t="str">
            <v>XMBZ2024091</v>
          </cell>
          <cell r="D328">
            <v>45505</v>
          </cell>
          <cell r="E328">
            <v>46965</v>
          </cell>
        </row>
        <row r="329">
          <cell r="A329" t="str">
            <v>浦江巨玩网络科技有限公司</v>
          </cell>
          <cell r="B329" t="str">
            <v>平台嵌入合作服务合同</v>
          </cell>
          <cell r="C329" t="str">
            <v>XMBZ2024093</v>
          </cell>
          <cell r="D329">
            <v>45577</v>
          </cell>
          <cell r="E329">
            <v>45941</v>
          </cell>
        </row>
        <row r="330">
          <cell r="A330" t="str">
            <v>蝴蝶互动（上海）信息技术有限公司</v>
          </cell>
          <cell r="B330" t="str">
            <v>Android游戏SDK联运合作合同</v>
          </cell>
          <cell r="C330" t="str">
            <v>XMBZ2024094</v>
          </cell>
          <cell r="D330">
            <v>43800</v>
          </cell>
          <cell r="E330">
            <v>47087</v>
          </cell>
        </row>
        <row r="331">
          <cell r="A331" t="str">
            <v>广州诗易文化科技有限公司</v>
          </cell>
          <cell r="B331" t="str">
            <v>Android游戏SDK联运合作合同</v>
          </cell>
          <cell r="C331" t="str">
            <v>XMBZ2024095</v>
          </cell>
          <cell r="D331">
            <v>45561</v>
          </cell>
          <cell r="E331">
            <v>46655</v>
          </cell>
        </row>
        <row r="332">
          <cell r="A332" t="str">
            <v>广州盼兮信息科技有限公司</v>
          </cell>
          <cell r="B332" t="str">
            <v>Android游戏SDK联运合作合同</v>
          </cell>
          <cell r="C332" t="str">
            <v>XMBZ2024096</v>
          </cell>
          <cell r="D332">
            <v>45597</v>
          </cell>
          <cell r="E332">
            <v>46691</v>
          </cell>
        </row>
        <row r="333">
          <cell r="A333" t="str">
            <v>厦门维虎网络科技有限公司</v>
          </cell>
          <cell r="B333" t="str">
            <v>Android游戏SDK联运合作合同</v>
          </cell>
          <cell r="C333" t="str">
            <v>XMBZ2024097</v>
          </cell>
          <cell r="D333">
            <v>45475</v>
          </cell>
          <cell r="E333">
            <v>46569</v>
          </cell>
        </row>
        <row r="334">
          <cell r="A334" t="str">
            <v>上海世纪智游网络信息科技有限公司</v>
          </cell>
          <cell r="B334" t="str">
            <v>Android游戏SDK联运合作合同</v>
          </cell>
          <cell r="C334" t="str">
            <v>XMBZ2024098</v>
          </cell>
          <cell r="D334">
            <v>45565</v>
          </cell>
          <cell r="E334">
            <v>46659</v>
          </cell>
        </row>
        <row r="335">
          <cell r="A335" t="str">
            <v>成都轻橙时代网络科技有限公司</v>
          </cell>
          <cell r="B335" t="str">
            <v>Android游戏SDK联运合作合同+运营授权书&lt;丰收之路&gt;</v>
          </cell>
          <cell r="C335" t="str">
            <v>XMBZ2024099</v>
          </cell>
          <cell r="D335">
            <v>45632</v>
          </cell>
          <cell r="E335">
            <v>46361</v>
          </cell>
        </row>
        <row r="336">
          <cell r="A336" t="str">
            <v>北京翊宸网络科技有限公司</v>
          </cell>
          <cell r="B336" t="str">
            <v>推广合作协议</v>
          </cell>
          <cell r="C336" t="str">
            <v>XMBZ2024100</v>
          </cell>
          <cell r="D336">
            <v>45623</v>
          </cell>
          <cell r="E336">
            <v>45987</v>
          </cell>
        </row>
        <row r="337">
          <cell r="A337" t="str">
            <v>广东安久科技有限公司</v>
          </cell>
          <cell r="B337" t="str">
            <v>《捕盗行纪》应用清单</v>
          </cell>
          <cell r="C337" t="str">
            <v>XMBZ2024101</v>
          </cell>
          <cell r="D337">
            <v>45611</v>
          </cell>
          <cell r="E337">
            <v>45945</v>
          </cell>
        </row>
        <row r="338">
          <cell r="A338" t="str">
            <v>杭州速发网络科技有限公司</v>
          </cell>
          <cell r="B338" t="str">
            <v>联运项目接入单（捕盗行纪）+分成变更补充协议</v>
          </cell>
          <cell r="C338" t="str">
            <v>XMBZ2024102</v>
          </cell>
          <cell r="D338">
            <v>45602</v>
          </cell>
          <cell r="E338">
            <v>46022</v>
          </cell>
        </row>
        <row r="339">
          <cell r="A339" t="str">
            <v>福建网龙计算机网络信息技术有限公司</v>
          </cell>
          <cell r="B339" t="str">
            <v>Android游戏SDK联运合作合同</v>
          </cell>
          <cell r="C339" t="str">
            <v>XMBZ2024103</v>
          </cell>
          <cell r="D339">
            <v>45627</v>
          </cell>
          <cell r="E339">
            <v>47087</v>
          </cell>
        </row>
        <row r="340">
          <cell r="A340" t="str">
            <v>福州曜灵互娱网络科技有限公司</v>
          </cell>
          <cell r="B340" t="str">
            <v>Android游戏SDK联运合作合同</v>
          </cell>
          <cell r="C340" t="str">
            <v>XMBZ2024104</v>
          </cell>
          <cell r="D340">
            <v>45626</v>
          </cell>
          <cell r="E340">
            <v>46355</v>
          </cell>
        </row>
        <row r="341">
          <cell r="A341" t="str">
            <v>上海卓安信息科技有限公司</v>
          </cell>
          <cell r="B341" t="str">
            <v>推广合作协议</v>
          </cell>
          <cell r="C341" t="str">
            <v>XMBZ2024105</v>
          </cell>
          <cell r="D341">
            <v>45658</v>
          </cell>
          <cell r="E341">
            <v>46022</v>
          </cell>
        </row>
        <row r="342">
          <cell r="A342" t="str">
            <v>北京数灵汇联科技有限公司</v>
          </cell>
          <cell r="B342" t="str">
            <v>Android游戏SDK联运合作合同</v>
          </cell>
          <cell r="C342" t="str">
            <v>XMBZ2024106</v>
          </cell>
          <cell r="D342">
            <v>45597</v>
          </cell>
          <cell r="E342">
            <v>46691</v>
          </cell>
        </row>
        <row r="343">
          <cell r="A343" t="str">
            <v>深圳印星文化传媒有限公司</v>
          </cell>
          <cell r="B343" t="str">
            <v>Android游戏SDK联运合作合同</v>
          </cell>
          <cell r="C343" t="str">
            <v>XMBZ2024107</v>
          </cell>
          <cell r="D343">
            <v>45575</v>
          </cell>
          <cell r="E343">
            <v>46669</v>
          </cell>
        </row>
        <row r="344">
          <cell r="A344" t="str">
            <v>厦门星汉天成网络科技有限公司</v>
          </cell>
          <cell r="B344" t="str">
            <v>游戏独家许可授权协议</v>
          </cell>
          <cell r="C344" t="str">
            <v>XMBZ2024108</v>
          </cell>
          <cell r="D344">
            <v>45383</v>
          </cell>
          <cell r="E344">
            <v>45657</v>
          </cell>
        </row>
        <row r="345">
          <cell r="A345" t="str">
            <v>广州蛋仔文化有限公司</v>
          </cell>
          <cell r="B345" t="str">
            <v>Android游戏SDK联运合作合同</v>
          </cell>
          <cell r="C345" t="str">
            <v>XMBZ2024109</v>
          </cell>
          <cell r="D345">
            <v>45643</v>
          </cell>
          <cell r="E345">
            <v>46737</v>
          </cell>
        </row>
        <row r="346">
          <cell r="A346" t="str">
            <v>湖南游海网络科技有限公司</v>
          </cell>
          <cell r="B346" t="str">
            <v>Android游戏SDK联运合作合同</v>
          </cell>
          <cell r="C346" t="str">
            <v>XMBZ2024110</v>
          </cell>
          <cell r="D346">
            <v>45646</v>
          </cell>
          <cell r="E346">
            <v>46740</v>
          </cell>
        </row>
        <row r="347">
          <cell r="A347" t="str">
            <v>湖南艾可鸭网络科技有限公司</v>
          </cell>
          <cell r="B347" t="str">
            <v>Android游戏SDK联运合作合同</v>
          </cell>
          <cell r="C347" t="str">
            <v>XMBZ2024111</v>
          </cell>
          <cell r="D347">
            <v>45646</v>
          </cell>
          <cell r="E347">
            <v>46740</v>
          </cell>
        </row>
        <row r="348">
          <cell r="A348" t="str">
            <v>厦门欢游互娱文化传播有限公司</v>
          </cell>
          <cell r="B348" t="str">
            <v>Android游戏SDK联运合作合同</v>
          </cell>
          <cell r="C348" t="str">
            <v>XMBZ2024112</v>
          </cell>
          <cell r="D348">
            <v>45591</v>
          </cell>
          <cell r="E348">
            <v>47087</v>
          </cell>
        </row>
        <row r="349">
          <cell r="A349" t="str">
            <v>广州熊动科技有限公司</v>
          </cell>
          <cell r="B349" t="str">
            <v>Android游戏SDK联运合作合同</v>
          </cell>
          <cell r="C349" t="str">
            <v>XMBZ2024113</v>
          </cell>
          <cell r="D349">
            <v>45627</v>
          </cell>
          <cell r="E349">
            <v>47088</v>
          </cell>
        </row>
        <row r="350">
          <cell r="A350" t="str">
            <v>成都奇辉网络科技有限公司</v>
          </cell>
          <cell r="B350" t="str">
            <v>Android游戏SDK联运合作合同+合同主体变更三方协议+合同主体变更三方协议</v>
          </cell>
          <cell r="C350" t="str">
            <v>XMBZ2024114</v>
          </cell>
          <cell r="D350">
            <v>45642</v>
          </cell>
          <cell r="E350">
            <v>46736</v>
          </cell>
        </row>
        <row r="351">
          <cell r="A351" t="str">
            <v>上海召合网络科技有限公司</v>
          </cell>
          <cell r="B351" t="str">
            <v>Android游戏SDK联运合作合同</v>
          </cell>
          <cell r="C351" t="str">
            <v>XMBZ2025001</v>
          </cell>
          <cell r="D351">
            <v>45660</v>
          </cell>
          <cell r="E351">
            <v>46754</v>
          </cell>
        </row>
        <row r="352">
          <cell r="A352" t="str">
            <v>天津坤舆科技有限公司</v>
          </cell>
          <cell r="B352" t="str">
            <v>Android游戏/应用SDK联运合作合同</v>
          </cell>
          <cell r="C352" t="str">
            <v>XMBZ2025002</v>
          </cell>
          <cell r="D352">
            <v>45665</v>
          </cell>
          <cell r="E352">
            <v>47125</v>
          </cell>
        </row>
        <row r="353">
          <cell r="A353" t="str">
            <v>广州栩腾科技有限公司</v>
          </cell>
          <cell r="B353" t="str">
            <v>Android游戏SDK联运合作合同</v>
          </cell>
          <cell r="C353" t="str">
            <v>XMBZ2025003</v>
          </cell>
          <cell r="D353">
            <v>45659</v>
          </cell>
          <cell r="E353">
            <v>46753</v>
          </cell>
        </row>
        <row r="354">
          <cell r="A354" t="str">
            <v>芜湖快游网络科技有限公司</v>
          </cell>
          <cell r="B354" t="str">
            <v>补充协议（部分网易游戏分成变更&amp;游戏续期）+合作游戏清单（网易游戏+特别条款约定）+常规合作游戏清单+网易游戏续签+补充协议（主框架续签）</v>
          </cell>
          <cell r="C354" t="str">
            <v>XMBZ2025004</v>
          </cell>
          <cell r="D354">
            <v>44044</v>
          </cell>
          <cell r="E354">
            <v>46599</v>
          </cell>
        </row>
        <row r="355">
          <cell r="A355" t="str">
            <v>长沙奇葩斗斗网络科技有限公司</v>
          </cell>
          <cell r="B355" t="str">
            <v>Android游戏SDK联运合作合同</v>
          </cell>
          <cell r="C355" t="str">
            <v>XMBZ2025005</v>
          </cell>
          <cell r="D355">
            <v>45627</v>
          </cell>
          <cell r="E355">
            <v>46721</v>
          </cell>
        </row>
        <row r="356">
          <cell r="A356" t="str">
            <v>成都星驰互娱科技有限公司</v>
          </cell>
          <cell r="B356" t="str">
            <v>产品推广合作协议（CPS）</v>
          </cell>
          <cell r="C356" t="str">
            <v>XMBZ2025006</v>
          </cell>
          <cell r="D356">
            <v>45306</v>
          </cell>
          <cell r="E356">
            <v>46766</v>
          </cell>
        </row>
        <row r="357">
          <cell r="A357" t="str">
            <v>海南乐娱网络科技有限公司</v>
          </cell>
          <cell r="B357" t="str">
            <v>Android游戏SDK联运合作合同</v>
          </cell>
          <cell r="C357" t="str">
            <v>XMBZ2025007</v>
          </cell>
          <cell r="D357">
            <v>45627</v>
          </cell>
          <cell r="E357">
            <v>46721</v>
          </cell>
        </row>
        <row r="358">
          <cell r="A358" t="str">
            <v>上海艾得蒽数字科技有限公司</v>
          </cell>
          <cell r="B358" t="str">
            <v>流量交易服务合同</v>
          </cell>
          <cell r="C358" t="str">
            <v>XMBZ2025008</v>
          </cell>
          <cell r="D358">
            <v>45627</v>
          </cell>
          <cell r="E358">
            <v>46022</v>
          </cell>
        </row>
        <row r="359">
          <cell r="A359" t="str">
            <v>深圳市朝希网络科技有限公司</v>
          </cell>
          <cell r="B359" t="str">
            <v>Android游戏SDK联运合作合同</v>
          </cell>
          <cell r="C359" t="str">
            <v>XMBZ2025009</v>
          </cell>
          <cell r="D359">
            <v>45671</v>
          </cell>
          <cell r="E359">
            <v>47131</v>
          </cell>
        </row>
        <row r="360">
          <cell r="A360" t="str">
            <v>广东天宸网络科技有限公司</v>
          </cell>
          <cell r="B360" t="str">
            <v>vivo渠道游戏业务合作协议</v>
          </cell>
          <cell r="C360" t="str">
            <v>XMBZ2025010</v>
          </cell>
          <cell r="D360">
            <v>45665</v>
          </cell>
          <cell r="E360">
            <v>46029</v>
          </cell>
        </row>
        <row r="361">
          <cell r="A361" t="str">
            <v>湖南奇葩乐游网络科技有限公司</v>
          </cell>
          <cell r="B361" t="str">
            <v>Android游戏SDK联运合作合同</v>
          </cell>
          <cell r="C361" t="str">
            <v>XMBZ2025011</v>
          </cell>
          <cell r="D361">
            <v>45658</v>
          </cell>
          <cell r="E361">
            <v>46752</v>
          </cell>
        </row>
        <row r="362">
          <cell r="A362" t="str">
            <v>广州仙灵网络科技有限公司</v>
          </cell>
          <cell r="B362" t="str">
            <v>Android游戏SDK联运合作合同</v>
          </cell>
          <cell r="C362" t="str">
            <v>XMBZ2025012</v>
          </cell>
          <cell r="D362">
            <v>45658</v>
          </cell>
          <cell r="E362">
            <v>46752</v>
          </cell>
        </row>
        <row r="363">
          <cell r="A363" t="str">
            <v>海南仙灵网络科技有限公司</v>
          </cell>
          <cell r="B363" t="str">
            <v>Android游戏SDK联运合作合同</v>
          </cell>
          <cell r="C363" t="str">
            <v>XMBZ2025013</v>
          </cell>
          <cell r="D363">
            <v>45658</v>
          </cell>
          <cell r="E363">
            <v>46752</v>
          </cell>
        </row>
        <row r="364">
          <cell r="A364" t="str">
            <v>上海真玩网络科技有限公司</v>
          </cell>
          <cell r="B364" t="str">
            <v>Android游戏SDK联运合作合同</v>
          </cell>
          <cell r="C364" t="str">
            <v>XMBZ2025014</v>
          </cell>
          <cell r="D364">
            <v>45636</v>
          </cell>
          <cell r="E364">
            <v>46000</v>
          </cell>
        </row>
        <row r="365">
          <cell r="A365" t="str">
            <v>西安麦游网络科技有限公司</v>
          </cell>
          <cell r="B365" t="str">
            <v>游戏产品接入清单（丰收之路、怦然心动的瞬间）+合同补充协议（续签）</v>
          </cell>
          <cell r="C365" t="str">
            <v>XMBZ2025015</v>
          </cell>
          <cell r="D365">
            <v>45673</v>
          </cell>
          <cell r="E365">
            <v>46387</v>
          </cell>
        </row>
        <row r="366">
          <cell r="A366" t="str">
            <v>西安游海网络科技有限公司</v>
          </cell>
          <cell r="B366" t="str">
            <v>游戏产品接入清单（丰收之路、怦然心动的瞬间）+合同补充协议（续签）</v>
          </cell>
          <cell r="C366" t="str">
            <v>XMBZ2025016</v>
          </cell>
          <cell r="D366">
            <v>45673</v>
          </cell>
          <cell r="E366">
            <v>46387</v>
          </cell>
        </row>
        <row r="367">
          <cell r="A367" t="str">
            <v>武汉葡萄互娱网络科技有限公司</v>
          </cell>
          <cell r="B367" t="str">
            <v>合作游戏清单</v>
          </cell>
          <cell r="C367" t="str">
            <v>XMBZ2025017</v>
          </cell>
          <cell r="D367">
            <v>45145</v>
          </cell>
          <cell r="E367">
            <v>46240</v>
          </cell>
        </row>
        <row r="368">
          <cell r="A368" t="str">
            <v>长沙市桂圆网络科技有限公司</v>
          </cell>
          <cell r="B368" t="str">
            <v>合作游戏清单</v>
          </cell>
          <cell r="C368" t="str">
            <v>XMBZ2025018</v>
          </cell>
          <cell r="D368">
            <v>45108</v>
          </cell>
          <cell r="E368">
            <v>46203</v>
          </cell>
        </row>
        <row r="369">
          <cell r="A369" t="str">
            <v>深圳市大臣科技有限公司</v>
          </cell>
          <cell r="B369" t="str">
            <v>合作游戏清单</v>
          </cell>
          <cell r="C369" t="str">
            <v>XMBZ2025019</v>
          </cell>
          <cell r="D369">
            <v>44608</v>
          </cell>
          <cell r="E369">
            <v>46069</v>
          </cell>
        </row>
        <row r="370">
          <cell r="A370" t="str">
            <v>海南日常网络科技有限公司</v>
          </cell>
          <cell r="B370" t="str">
            <v>补充续签协议+合作游戏清单+补充协议（荣耀大天使五倍版）</v>
          </cell>
          <cell r="C370" t="str">
            <v>XMBZ2025020</v>
          </cell>
          <cell r="D370">
            <v>44621</v>
          </cell>
          <cell r="E370">
            <v>46752</v>
          </cell>
        </row>
        <row r="371">
          <cell r="A371" t="str">
            <v>广州红鹤网络科技有限公司</v>
          </cell>
          <cell r="B371" t="str">
            <v>合同变更补充协议（自动续签）+合作游戏清单</v>
          </cell>
          <cell r="C371" t="str">
            <v>XMBZ2025021</v>
          </cell>
          <cell r="D371">
            <v>44250</v>
          </cell>
          <cell r="E371">
            <v>46081</v>
          </cell>
        </row>
        <row r="372">
          <cell r="A372" t="str">
            <v>广州生泰网络科技有限公司</v>
          </cell>
          <cell r="B372" t="str">
            <v>合同续签协议+合作游戏清单</v>
          </cell>
          <cell r="C372" t="str">
            <v>XMBZ2025023</v>
          </cell>
          <cell r="D372">
            <v>44348</v>
          </cell>
          <cell r="E372">
            <v>46904</v>
          </cell>
        </row>
        <row r="373">
          <cell r="A373" t="str">
            <v>西安亚米互娱网络技术有限公司</v>
          </cell>
          <cell r="B373" t="str">
            <v>补充协议（丰收之路+圣斗士星矢清单）</v>
          </cell>
          <cell r="C373" t="str">
            <v>XMBZ2025024</v>
          </cell>
          <cell r="D373">
            <v>45673</v>
          </cell>
          <cell r="E373">
            <v>46173</v>
          </cell>
        </row>
        <row r="374">
          <cell r="A374" t="str">
            <v>广州卓游信息科技有限公司</v>
          </cell>
          <cell r="B374" t="str">
            <v>手机游戏联合运营合作协议</v>
          </cell>
          <cell r="C374" t="str">
            <v>XMBZ2025025</v>
          </cell>
          <cell r="D374">
            <v>45627</v>
          </cell>
          <cell r="E374">
            <v>46387</v>
          </cell>
        </row>
        <row r="375">
          <cell r="A375" t="str">
            <v>上海趣朗网络科技有限公司</v>
          </cell>
          <cell r="B375" t="str">
            <v>补充协议（丰收之路清单）+续期补充协议（第七幻域续签）</v>
          </cell>
          <cell r="C375" t="str">
            <v>XMBZ2025026</v>
          </cell>
          <cell r="D375">
            <v>45673</v>
          </cell>
          <cell r="E375">
            <v>46037</v>
          </cell>
        </row>
        <row r="376">
          <cell r="A376" t="str">
            <v>广州网易计算机系统有限公司</v>
          </cell>
          <cell r="B376" t="str">
            <v>合作游戏清单（丰收之路+怦然心动的瞬间）</v>
          </cell>
          <cell r="C376" t="str">
            <v>XMBZ2025027</v>
          </cell>
          <cell r="D376">
            <v>45659</v>
          </cell>
          <cell r="E376">
            <v>45983</v>
          </cell>
        </row>
        <row r="377">
          <cell r="A377" t="str">
            <v>长沙潇湘畅游网络科技有限公司</v>
          </cell>
          <cell r="B377" t="str">
            <v>合作游戏清单</v>
          </cell>
          <cell r="C377" t="str">
            <v>XMBZ2025028</v>
          </cell>
          <cell r="D377">
            <v>45689</v>
          </cell>
          <cell r="E377">
            <v>46326</v>
          </cell>
        </row>
        <row r="378">
          <cell r="A378" t="str">
            <v>长沙市椰子游网络科技有限公司</v>
          </cell>
          <cell r="B378" t="str">
            <v>合作游戏清单</v>
          </cell>
          <cell r="C378" t="str">
            <v>XMBZ2025029</v>
          </cell>
          <cell r="D378">
            <v>45689</v>
          </cell>
          <cell r="E378">
            <v>46203</v>
          </cell>
        </row>
        <row r="379">
          <cell r="A379" t="str">
            <v>北京儒意景秀网络科技有限公司</v>
          </cell>
          <cell r="B379" t="str">
            <v>游戏推广合作协议</v>
          </cell>
          <cell r="C379" t="str">
            <v>XMBZ2025030</v>
          </cell>
          <cell r="D379">
            <v>45702</v>
          </cell>
          <cell r="E379">
            <v>46066</v>
          </cell>
        </row>
        <row r="380">
          <cell r="A380" t="str">
            <v>深圳市凉屋游戏科技有限公司</v>
          </cell>
          <cell r="B380" t="str">
            <v>产品推广合作协议（大江湖之苍龙与白鸟）</v>
          </cell>
          <cell r="C380" t="str">
            <v>XMBZ2025031</v>
          </cell>
          <cell r="D380">
            <v>45718</v>
          </cell>
          <cell r="E380">
            <v>46813</v>
          </cell>
        </row>
        <row r="381">
          <cell r="A381" t="str">
            <v>广州矩游网络科技有限公司</v>
          </cell>
          <cell r="B381" t="str">
            <v>合同续签协议+合作游戏清单</v>
          </cell>
          <cell r="C381" t="str">
            <v>XMBZ2025032</v>
          </cell>
          <cell r="D381">
            <v>45627</v>
          </cell>
          <cell r="E381">
            <v>46538</v>
          </cell>
        </row>
        <row r="382">
          <cell r="A382" t="str">
            <v>海南霹荔网络科技有限公司</v>
          </cell>
          <cell r="B382" t="str">
            <v>合作游戏清单+合同续签协议</v>
          </cell>
          <cell r="C382" t="str">
            <v>XMBZ2025033</v>
          </cell>
          <cell r="D382">
            <v>45627</v>
          </cell>
          <cell r="E382">
            <v>46660</v>
          </cell>
        </row>
        <row r="383">
          <cell r="A383" t="str">
            <v>广州魅游网络科技有限公司</v>
          </cell>
          <cell r="B383" t="str">
            <v>Android游戏SDK联运合作合同</v>
          </cell>
          <cell r="C383" t="str">
            <v>XMBZ2025034</v>
          </cell>
          <cell r="D383">
            <v>45717</v>
          </cell>
          <cell r="E383">
            <v>47177</v>
          </cell>
        </row>
        <row r="384">
          <cell r="A384" t="str">
            <v>广州乐起文化传播有限公司</v>
          </cell>
          <cell r="B384" t="str">
            <v>Android游戏SDK联运合作合同</v>
          </cell>
          <cell r="C384" t="str">
            <v>XMBZ2025035</v>
          </cell>
          <cell r="D384">
            <v>45689</v>
          </cell>
          <cell r="E384">
            <v>47149</v>
          </cell>
        </row>
        <row r="385">
          <cell r="A385" t="str">
            <v>厦门杰游文化传播有限公司</v>
          </cell>
          <cell r="B385" t="str">
            <v>Android游戏SDK联运合作合同</v>
          </cell>
          <cell r="C385" t="str">
            <v>XMBZ2025036</v>
          </cell>
          <cell r="D385">
            <v>45292</v>
          </cell>
          <cell r="E385">
            <v>47118</v>
          </cell>
        </row>
        <row r="386">
          <cell r="A386" t="str">
            <v>苏州燃冰网络科技有限公司</v>
          </cell>
          <cell r="B386" t="str">
            <v>合作游戏清单</v>
          </cell>
          <cell r="C386" t="str">
            <v>XMBZ2025037</v>
          </cell>
          <cell r="D386">
            <v>45734</v>
          </cell>
          <cell r="E386">
            <v>46357</v>
          </cell>
        </row>
        <row r="387">
          <cell r="A387" t="str">
            <v>北京朔羲网络科技有限公司</v>
          </cell>
          <cell r="B387" t="str">
            <v>主协议及游戏续签协议</v>
          </cell>
          <cell r="C387" t="str">
            <v>XMBZ2025038</v>
          </cell>
          <cell r="D387">
            <v>45726</v>
          </cell>
          <cell r="E387">
            <v>46477</v>
          </cell>
        </row>
        <row r="388">
          <cell r="A388" t="str">
            <v>北京漫腾网络科技有限公司</v>
          </cell>
          <cell r="B388" t="str">
            <v>合作游戏清单</v>
          </cell>
          <cell r="C388" t="str">
            <v>XMBZ2025039</v>
          </cell>
          <cell r="D388">
            <v>45733</v>
          </cell>
          <cell r="E388">
            <v>46728</v>
          </cell>
        </row>
        <row r="389">
          <cell r="A389" t="str">
            <v>广州纵游互娱网络科技有限公司</v>
          </cell>
          <cell r="B389" t="str">
            <v>Android游戏SDK联运合作合同</v>
          </cell>
          <cell r="C389" t="str">
            <v>XMBZ2025040</v>
          </cell>
          <cell r="D389">
            <v>45658</v>
          </cell>
          <cell r="E389">
            <v>46752</v>
          </cell>
        </row>
        <row r="390">
          <cell r="A390" t="str">
            <v>杭州光影流年网络科技有限公司</v>
          </cell>
          <cell r="B390" t="str">
            <v>Android游戏SDK联运合作合同</v>
          </cell>
          <cell r="C390" t="str">
            <v>XMBZ2025041</v>
          </cell>
          <cell r="D390">
            <v>45748</v>
          </cell>
          <cell r="E390">
            <v>46843</v>
          </cell>
        </row>
        <row r="391">
          <cell r="A391" t="str">
            <v>广州鲸梦网络科技有限公司</v>
          </cell>
          <cell r="B391" t="str">
            <v>Android游戏SDK联运合作合同</v>
          </cell>
          <cell r="C391" t="str">
            <v>XMBZ2025042</v>
          </cell>
          <cell r="D391">
            <v>45736</v>
          </cell>
          <cell r="E391">
            <v>47196</v>
          </cell>
        </row>
        <row r="392">
          <cell r="A392" t="str">
            <v>侠客行（上海）广告有限公司</v>
          </cell>
          <cell r="B392" t="str">
            <v>信息优化技术服务框架合同</v>
          </cell>
          <cell r="C392" t="str">
            <v>XMBZ2025043</v>
          </cell>
          <cell r="D392">
            <v>45658</v>
          </cell>
          <cell r="E392">
            <v>46022</v>
          </cell>
        </row>
        <row r="393">
          <cell r="A393" t="str">
            <v>广州君玩网络科技有限公司</v>
          </cell>
          <cell r="B393" t="str">
            <v>Android游戏SDK联运合作合同</v>
          </cell>
          <cell r="C393" t="str">
            <v>XMBZ2025044</v>
          </cell>
          <cell r="D393">
            <v>45702</v>
          </cell>
          <cell r="E393">
            <v>47163</v>
          </cell>
        </row>
        <row r="394">
          <cell r="A394" t="str">
            <v>长沙掌控智能科技有限公司</v>
          </cell>
          <cell r="B394" t="str">
            <v>《元气骑士》游戏授权清单</v>
          </cell>
          <cell r="C394" t="str">
            <v>XMBZ2025045</v>
          </cell>
          <cell r="D394">
            <v>45758</v>
          </cell>
          <cell r="E394">
            <v>47163</v>
          </cell>
        </row>
        <row r="395">
          <cell r="A395" t="str">
            <v>山东天娱互动网络科技有限公司</v>
          </cell>
          <cell r="B395" t="str">
            <v>Android游戏SDK联运合作合同</v>
          </cell>
          <cell r="C395" t="str">
            <v>XMBZ2025046</v>
          </cell>
          <cell r="D395">
            <v>45413</v>
          </cell>
          <cell r="E395">
            <v>46507</v>
          </cell>
        </row>
        <row r="396">
          <cell r="A396" t="str">
            <v>深圳吉吉比网络科技有限公司</v>
          </cell>
          <cell r="B396" t="str">
            <v>Android游戏SDK联运合作合同</v>
          </cell>
          <cell r="C396" t="str">
            <v>XMBZ2025047</v>
          </cell>
          <cell r="D396">
            <v>45689</v>
          </cell>
          <cell r="E396">
            <v>46783</v>
          </cell>
        </row>
        <row r="397">
          <cell r="A397" t="str">
            <v>厦门元屿安科技有限公司</v>
          </cell>
          <cell r="B397" t="str">
            <v>元屿安云产品服务协议+智能云CDN/LSS服务产品订单</v>
          </cell>
          <cell r="C397" t="str">
            <v>XMBZ2025048</v>
          </cell>
          <cell r="D397">
            <v>45748</v>
          </cell>
          <cell r="E397">
            <v>46387</v>
          </cell>
        </row>
        <row r="398">
          <cell r="A398" t="str">
            <v>常德市晨星网络科技有限公司</v>
          </cell>
          <cell r="B398" t="str">
            <v>合同续签协议+合作游戏清单</v>
          </cell>
          <cell r="C398" t="str">
            <v>XMBZ2025049</v>
          </cell>
          <cell r="D398">
            <v>45717</v>
          </cell>
          <cell r="E398">
            <v>46568</v>
          </cell>
        </row>
        <row r="399">
          <cell r="A399" t="str">
            <v>广州青提网络科技有限公司</v>
          </cell>
          <cell r="B399" t="str">
            <v>收款账户变更告知函+合作游戏清单</v>
          </cell>
          <cell r="C399" t="str">
            <v>XMBZ2025050</v>
          </cell>
          <cell r="D399">
            <v>45748</v>
          </cell>
          <cell r="E399">
            <v>46630</v>
          </cell>
        </row>
        <row r="400">
          <cell r="A400" t="str">
            <v>杭州宠趣网络科技有限公司</v>
          </cell>
          <cell r="B400" t="str">
            <v>Android游戏SDK联运合作合同</v>
          </cell>
          <cell r="C400" t="str">
            <v>XMBZ2025051</v>
          </cell>
          <cell r="D400">
            <v>45757</v>
          </cell>
          <cell r="E400">
            <v>46852</v>
          </cell>
        </row>
        <row r="401">
          <cell r="A401" t="str">
            <v>深圳市思迈互娱科技有限公司</v>
          </cell>
          <cell r="B401" t="str">
            <v>合同续签协议二</v>
          </cell>
          <cell r="C401" t="str">
            <v>XMBZ2025052</v>
          </cell>
          <cell r="D401">
            <v>44277</v>
          </cell>
          <cell r="E401">
            <v>46467</v>
          </cell>
        </row>
        <row r="402">
          <cell r="A402" t="str">
            <v>广州穿山甲网络科技有限公司</v>
          </cell>
          <cell r="B402" t="str">
            <v>合同续签协议</v>
          </cell>
          <cell r="C402" t="str">
            <v>XMBZ2025053</v>
          </cell>
          <cell r="D402">
            <v>43952</v>
          </cell>
          <cell r="E402">
            <v>46142</v>
          </cell>
        </row>
        <row r="403">
          <cell r="A403" t="str">
            <v>深圳市豚游互娱科技有限公司</v>
          </cell>
          <cell r="B403" t="str">
            <v>合作游戏清单</v>
          </cell>
          <cell r="C403" t="str">
            <v>XMBZ2025054</v>
          </cell>
          <cell r="D403">
            <v>43952</v>
          </cell>
          <cell r="E403">
            <v>46746</v>
          </cell>
        </row>
        <row r="404">
          <cell r="A404" t="str">
            <v>广州金科文化科技有限公司</v>
          </cell>
          <cell r="B404" t="str">
            <v>Android游戏SDK联运合作合同</v>
          </cell>
          <cell r="C404" t="str">
            <v>XMBZ2025055</v>
          </cell>
          <cell r="D404">
            <v>45764</v>
          </cell>
          <cell r="E404">
            <v>46859</v>
          </cell>
        </row>
        <row r="405">
          <cell r="A405" t="str">
            <v>湖北久久玩网络科技有限公司</v>
          </cell>
          <cell r="B405" t="str">
            <v>信息服务协议</v>
          </cell>
          <cell r="C405" t="str">
            <v>XMBZ2025056</v>
          </cell>
          <cell r="D405">
            <v>45749</v>
          </cell>
          <cell r="E405">
            <v>46113</v>
          </cell>
        </row>
        <row r="406">
          <cell r="A406" t="str">
            <v>广州叶子戏网络科技有限公司</v>
          </cell>
          <cell r="B406" t="str">
            <v>Android游戏SDK联运合作合同</v>
          </cell>
          <cell r="C406" t="str">
            <v>XMBZ2025057</v>
          </cell>
          <cell r="D406">
            <v>45761</v>
          </cell>
          <cell r="E406">
            <v>46387</v>
          </cell>
        </row>
        <row r="407">
          <cell r="A407" t="str">
            <v>竞技世界（成都）网络技术有限公司</v>
          </cell>
          <cell r="B407" t="str">
            <v>CPS联运推广协议-热血街篮</v>
          </cell>
          <cell r="C407" t="str">
            <v>XMBZ2025058</v>
          </cell>
          <cell r="D407">
            <v>45763</v>
          </cell>
          <cell r="E407">
            <v>46127</v>
          </cell>
        </row>
        <row r="408">
          <cell r="A408" t="str">
            <v>成都俊云科技有限公司</v>
          </cell>
          <cell r="B408" t="str">
            <v>奇游&amp;巴掌互动SDK合作协议+保密协议</v>
          </cell>
          <cell r="C408" t="str">
            <v>XMBZ2025059</v>
          </cell>
          <cell r="D408">
            <v>45767</v>
          </cell>
          <cell r="E408">
            <v>46131</v>
          </cell>
        </row>
        <row r="409">
          <cell r="A409" t="str">
            <v>深圳乐致互动科技有限公司</v>
          </cell>
          <cell r="B409" t="str">
            <v>Android游戏SDK联运合作合同</v>
          </cell>
          <cell r="C409" t="str">
            <v>XMBZ2025060</v>
          </cell>
          <cell r="D409">
            <v>45658</v>
          </cell>
          <cell r="E409">
            <v>46752</v>
          </cell>
        </row>
        <row r="410">
          <cell r="A410" t="str">
            <v>厦门极光象限科技有限公司</v>
          </cell>
          <cell r="B410" t="str">
            <v>代充合作协议</v>
          </cell>
          <cell r="C410" t="str">
            <v>XMBZ2025061</v>
          </cell>
          <cell r="D410">
            <v>45748</v>
          </cell>
          <cell r="E410">
            <v>46477</v>
          </cell>
        </row>
        <row r="411">
          <cell r="A411" t="str">
            <v>厦门欢游趣玩软件科技有限公司</v>
          </cell>
          <cell r="B411" t="str">
            <v>Android游戏SDK联运合作合同</v>
          </cell>
          <cell r="C411" t="str">
            <v>XMBZ2025062</v>
          </cell>
          <cell r="D411">
            <v>45778</v>
          </cell>
          <cell r="E411">
            <v>47238</v>
          </cell>
        </row>
        <row r="412">
          <cell r="A412" t="str">
            <v>广州四三九九信息科技有限公司</v>
          </cell>
          <cell r="B412" t="str">
            <v>广告推广合作协议书（安卓/IOS系统-CPA版本）</v>
          </cell>
          <cell r="C412" t="str">
            <v>XMBZ2025063</v>
          </cell>
          <cell r="D412">
            <v>45741</v>
          </cell>
          <cell r="E412">
            <v>46105</v>
          </cell>
        </row>
        <row r="413">
          <cell r="A413" t="str">
            <v>广州梦龙网络科技有限公司</v>
          </cell>
          <cell r="B413" t="str">
            <v>Android游戏SDK联运合作合同+合作主体变更协议</v>
          </cell>
          <cell r="C413" t="str">
            <v>XMBZ2025064</v>
          </cell>
          <cell r="D413">
            <v>45774</v>
          </cell>
          <cell r="E413">
            <v>47234</v>
          </cell>
        </row>
        <row r="414">
          <cell r="A414" t="str">
            <v>上海趣朗网络科技有限公司</v>
          </cell>
          <cell r="B414" t="str">
            <v>产品推广合作协议（CPS）（我方甲方）</v>
          </cell>
          <cell r="C414" t="str">
            <v>XMBZ2025065</v>
          </cell>
          <cell r="D414">
            <v>45717</v>
          </cell>
          <cell r="E414">
            <v>46811</v>
          </cell>
        </row>
        <row r="415">
          <cell r="A415" t="str">
            <v>广州鑫途文化传播有限公司</v>
          </cell>
          <cell r="B415" t="str">
            <v>Android游戏SDK联运合作合同</v>
          </cell>
          <cell r="C415" t="str">
            <v>XMBZ2025066</v>
          </cell>
          <cell r="D415">
            <v>45757</v>
          </cell>
          <cell r="E415">
            <v>46852</v>
          </cell>
        </row>
        <row r="416">
          <cell r="A416" t="str">
            <v>杭州镜头科技有限公司</v>
          </cell>
          <cell r="B416" t="str">
            <v>Android游戏SDK联运合作合同</v>
          </cell>
          <cell r="C416" t="str">
            <v>XMBZ2025067</v>
          </cell>
          <cell r="D416">
            <v>45809</v>
          </cell>
          <cell r="E416">
            <v>46904</v>
          </cell>
        </row>
        <row r="417">
          <cell r="A417" t="str">
            <v>厦门渡千科技有限公司</v>
          </cell>
          <cell r="B417" t="str">
            <v>CDN技术服务合同+服务产品及价格确认书</v>
          </cell>
          <cell r="C417" t="str">
            <v>XMBZ2025068</v>
          </cell>
          <cell r="D417">
            <v>45778</v>
          </cell>
          <cell r="E417">
            <v>46142</v>
          </cell>
        </row>
        <row r="418">
          <cell r="A418" t="str">
            <v>上海翊锐新网络科技有限公司</v>
          </cell>
          <cell r="B418" t="str">
            <v>Android游戏SDK联运合作合同</v>
          </cell>
          <cell r="C418" t="str">
            <v>XMBZ2025069</v>
          </cell>
          <cell r="D418">
            <v>45785</v>
          </cell>
          <cell r="E418">
            <v>46880</v>
          </cell>
        </row>
        <row r="419">
          <cell r="A419" t="str">
            <v>辽宁游燕网络科技有限公司</v>
          </cell>
          <cell r="B419" t="str">
            <v>Android游戏SDK联运合作合同</v>
          </cell>
          <cell r="C419" t="str">
            <v>XMBZ2025070</v>
          </cell>
          <cell r="D419">
            <v>45778</v>
          </cell>
          <cell r="E419">
            <v>47238</v>
          </cell>
        </row>
        <row r="420">
          <cell r="A420" t="str">
            <v>惠州爱玩网络科技有限公司</v>
          </cell>
          <cell r="B420" t="str">
            <v>Android游戏SDK联运合作合同</v>
          </cell>
          <cell r="C420" t="str">
            <v>XMBZ2025071</v>
          </cell>
          <cell r="D420">
            <v>45839</v>
          </cell>
          <cell r="E420">
            <v>47664</v>
          </cell>
        </row>
        <row r="421">
          <cell r="A421" t="str">
            <v>火烈鸟网络（广州）股份有限公司</v>
          </cell>
          <cell r="B421" t="str">
            <v>权利义务转让协议</v>
          </cell>
          <cell r="C421" t="str">
            <v>XMBZ2025072</v>
          </cell>
          <cell r="D421">
            <v>45778</v>
          </cell>
          <cell r="E421">
            <v>47664</v>
          </cell>
        </row>
        <row r="422">
          <cell r="A422" t="str">
            <v>广东唯一网络科技有限公司</v>
          </cell>
          <cell r="B422" t="str">
            <v>CDN技术服务合同</v>
          </cell>
          <cell r="C422" t="str">
            <v>XMBZ2025073</v>
          </cell>
          <cell r="D422">
            <v>45799</v>
          </cell>
          <cell r="E422">
            <v>46168</v>
          </cell>
        </row>
        <row r="423">
          <cell r="A423" t="str">
            <v>海南岩岭网络科技有限公司</v>
          </cell>
          <cell r="B423" t="str">
            <v>Android游戏SDK联运合作合同</v>
          </cell>
          <cell r="C423" t="str">
            <v>XMBZ2025074</v>
          </cell>
          <cell r="D423">
            <v>45717</v>
          </cell>
          <cell r="E423">
            <v>46811</v>
          </cell>
        </row>
        <row r="424">
          <cell r="A424" t="str">
            <v>海南仙灵网络科技有限公司</v>
          </cell>
          <cell r="B424" t="str">
            <v>产品推广合作协议（CPS）</v>
          </cell>
          <cell r="C424" t="str">
            <v>XMBZ2025075</v>
          </cell>
          <cell r="D424">
            <v>45658</v>
          </cell>
          <cell r="E424">
            <v>47118</v>
          </cell>
        </row>
        <row r="425">
          <cell r="A425" t="str">
            <v>湖南奇葩乐游网络科技有限公司</v>
          </cell>
          <cell r="B425" t="str">
            <v>产品推广合作协议（CPS）</v>
          </cell>
          <cell r="C425" t="str">
            <v>XMBZ2025076</v>
          </cell>
          <cell r="D425">
            <v>45658</v>
          </cell>
          <cell r="E425">
            <v>47118</v>
          </cell>
        </row>
        <row r="426">
          <cell r="A426" t="str">
            <v>长沙市椰子游网络科技有限公司</v>
          </cell>
          <cell r="B426" t="str">
            <v>产品推广合作协议（CPS）</v>
          </cell>
          <cell r="C426" t="str">
            <v>XMBZ2025077</v>
          </cell>
          <cell r="D426">
            <v>45658</v>
          </cell>
          <cell r="E426">
            <v>47118</v>
          </cell>
        </row>
        <row r="427">
          <cell r="A427" t="str">
            <v>长沙奇葩斗斗网络科技有限公司</v>
          </cell>
          <cell r="B427" t="str">
            <v>产品推广合作协议（CPS）</v>
          </cell>
          <cell r="C427" t="str">
            <v>XMBZ2025078</v>
          </cell>
          <cell r="D427">
            <v>45658</v>
          </cell>
          <cell r="E427">
            <v>47118</v>
          </cell>
        </row>
        <row r="428">
          <cell r="A428" t="str">
            <v>常德市晨星网络科技有限公司</v>
          </cell>
          <cell r="B428" t="str">
            <v>产品推广合作协议（CPS）</v>
          </cell>
          <cell r="C428" t="str">
            <v>XMBZ2025079</v>
          </cell>
          <cell r="D428">
            <v>45658</v>
          </cell>
          <cell r="E428">
            <v>47118</v>
          </cell>
        </row>
        <row r="429">
          <cell r="A429" t="str">
            <v>扬州闪光科技有限公司</v>
          </cell>
          <cell r="B429" t="str">
            <v>Android游戏SDK联运合作合同+产品合作主体变更协议</v>
          </cell>
          <cell r="C429" t="str">
            <v>XMBZ2025080</v>
          </cell>
          <cell r="D429">
            <v>45778</v>
          </cell>
          <cell r="E429">
            <v>46873</v>
          </cell>
        </row>
        <row r="430">
          <cell r="A430" t="str">
            <v>杭州泰哲睿科技有限公司</v>
          </cell>
          <cell r="B430" t="str">
            <v>Android游戏SDK联运合作合同</v>
          </cell>
          <cell r="C430" t="str">
            <v>XMBZ2025081</v>
          </cell>
          <cell r="D430">
            <v>45748</v>
          </cell>
          <cell r="E430">
            <v>47208</v>
          </cell>
        </row>
        <row r="431">
          <cell r="A431" t="str">
            <v>上海宇佑飓宸网络科技有限公司</v>
          </cell>
          <cell r="B431" t="str">
            <v>Android游戏SDK联运合作合同</v>
          </cell>
          <cell r="C431" t="str">
            <v>XMBZ2025082</v>
          </cell>
          <cell r="D431">
            <v>45765</v>
          </cell>
          <cell r="E431">
            <v>46129</v>
          </cell>
        </row>
        <row r="432">
          <cell r="A432" t="str">
            <v>上海玉伟和网络科技有限公司</v>
          </cell>
          <cell r="B432" t="str">
            <v>Android游戏SDK联运合作合同+三方协议（欢游-玉伟和）</v>
          </cell>
          <cell r="C432" t="str">
            <v>XMBZ2025083</v>
          </cell>
          <cell r="D432">
            <v>45658</v>
          </cell>
          <cell r="E432">
            <v>46752</v>
          </cell>
        </row>
        <row r="433">
          <cell r="A433" t="str">
            <v>兴宁市漫游科技有限公司</v>
          </cell>
          <cell r="B433" t="str">
            <v>IP地址归属地数据服务协议</v>
          </cell>
          <cell r="C433" t="str">
            <v>XMBZ2025084</v>
          </cell>
          <cell r="D433">
            <v>45831</v>
          </cell>
          <cell r="E433">
            <v>46195</v>
          </cell>
        </row>
        <row r="434">
          <cell r="A434" t="str">
            <v>上海百开文化传媒有限公司</v>
          </cell>
          <cell r="B434" t="str">
            <v>合作游戏清单+合同主体变更三方协议（乐肤美→百开）</v>
          </cell>
          <cell r="C434" t="str">
            <v>XMBZ2025085</v>
          </cell>
          <cell r="D434">
            <v>45778</v>
          </cell>
          <cell r="E434">
            <v>46713</v>
          </cell>
        </row>
        <row r="435">
          <cell r="A435" t="str">
            <v>上海赢谦嘉科技有限公司</v>
          </cell>
          <cell r="B435" t="str">
            <v>合作游戏清单</v>
          </cell>
          <cell r="C435" t="str">
            <v>XMBZ2025086</v>
          </cell>
          <cell r="D435">
            <v>45717</v>
          </cell>
          <cell r="E435">
            <v>46142</v>
          </cell>
        </row>
        <row r="436">
          <cell r="A436" t="str">
            <v>广州超梦网络科技有限公司</v>
          </cell>
          <cell r="B436" t="str">
            <v>合同续签协议</v>
          </cell>
          <cell r="C436" t="str">
            <v>XMBZ2025087</v>
          </cell>
          <cell r="D436">
            <v>45790</v>
          </cell>
          <cell r="E436">
            <v>46519</v>
          </cell>
        </row>
        <row r="437">
          <cell r="A437" t="str">
            <v>深圳市抱一网络科技有限公司</v>
          </cell>
          <cell r="B437" t="str">
            <v>合同续签协议</v>
          </cell>
          <cell r="C437" t="str">
            <v>XMBZ2025088</v>
          </cell>
          <cell r="D437">
            <v>45827</v>
          </cell>
          <cell r="E437">
            <v>46387</v>
          </cell>
        </row>
        <row r="438">
          <cell r="A438" t="str">
            <v>苏州擎熊软件开发有限公司</v>
          </cell>
          <cell r="B438" t="str">
            <v>Android游戏SDK联运合作合同+合同主体变更三方协议</v>
          </cell>
          <cell r="C438" t="str">
            <v>XMBZ2025089</v>
          </cell>
          <cell r="D438">
            <v>45778</v>
          </cell>
          <cell r="E438">
            <v>46873</v>
          </cell>
        </row>
        <row r="439">
          <cell r="A439" t="str">
            <v>广州益游互动网络科技有限公司</v>
          </cell>
          <cell r="B439" t="str">
            <v>Android游戏SDK联运合作合同</v>
          </cell>
          <cell r="C439" t="str">
            <v>XMBZ2025090</v>
          </cell>
          <cell r="D439">
            <v>45832</v>
          </cell>
          <cell r="E439">
            <v>46927</v>
          </cell>
        </row>
        <row r="440">
          <cell r="A440" t="str">
            <v>广州宸希互娱信息科技有限公司</v>
          </cell>
          <cell r="B440" t="str">
            <v>游戏SDK联运合作合同</v>
          </cell>
          <cell r="C440" t="str">
            <v>XMBZ2025091</v>
          </cell>
          <cell r="D440">
            <v>45839</v>
          </cell>
          <cell r="E440">
            <v>46934</v>
          </cell>
        </row>
        <row r="441">
          <cell r="A441" t="str">
            <v>厦门三七三三网络科技有限公司</v>
          </cell>
          <cell r="B441" t="str">
            <v>联合运营框架协议</v>
          </cell>
          <cell r="C441" t="str">
            <v>XMBZ2025092</v>
          </cell>
          <cell r="D441">
            <v>45901</v>
          </cell>
          <cell r="E441">
            <v>46630</v>
          </cell>
        </row>
        <row r="442">
          <cell r="A442" t="str">
            <v>广州熹枫网络科技有限公司</v>
          </cell>
          <cell r="B442" t="str">
            <v>Android游戏SDK联运合作合同</v>
          </cell>
          <cell r="C442" t="str">
            <v>XMBZ2025093</v>
          </cell>
          <cell r="D442">
            <v>45828</v>
          </cell>
          <cell r="E442">
            <v>46923</v>
          </cell>
        </row>
        <row r="443">
          <cell r="A443" t="str">
            <v>广州天将大任软件科技有限公司</v>
          </cell>
          <cell r="B443" t="str">
            <v>游戏联合运营合作协议+补充协议+主体变更协议</v>
          </cell>
          <cell r="C443" t="str">
            <v>XMBZ2025094</v>
          </cell>
          <cell r="D443">
            <v>45658</v>
          </cell>
          <cell r="E443">
            <v>46387</v>
          </cell>
        </row>
        <row r="444">
          <cell r="A444" t="str">
            <v>杭州非奇科技股份有限公司</v>
          </cell>
          <cell r="B444" t="str">
            <v>手游游戏推广合作框架协议（CPS）</v>
          </cell>
          <cell r="C444" t="str">
            <v>XMBZ2025095</v>
          </cell>
          <cell r="D444">
            <v>45809</v>
          </cell>
          <cell r="E444">
            <v>46904</v>
          </cell>
        </row>
        <row r="445">
          <cell r="A445" t="str">
            <v>杭州闪电玩网络科技有限公司</v>
          </cell>
          <cell r="B445" t="str">
            <v>Android游戏SDK联运合作合同</v>
          </cell>
          <cell r="C445" t="str">
            <v>XMBZ2025096</v>
          </cell>
          <cell r="D445">
            <v>45825</v>
          </cell>
          <cell r="E445">
            <v>46921</v>
          </cell>
        </row>
        <row r="446">
          <cell r="A446" t="str">
            <v>广州市八童网络科技有限公司</v>
          </cell>
          <cell r="B446" t="str">
            <v>Android游戏SDK联运合作合同</v>
          </cell>
          <cell r="C446" t="str">
            <v>XMBZ2025097</v>
          </cell>
          <cell r="D446">
            <v>45839</v>
          </cell>
          <cell r="E446">
            <v>47664</v>
          </cell>
        </row>
        <row r="447">
          <cell r="A447" t="str">
            <v>成都星驰互娱科技有限公司</v>
          </cell>
          <cell r="B447" t="str">
            <v>产品推广合作协议（CPS）（纸嫁衣7+纸嫁衣8）</v>
          </cell>
          <cell r="C447" t="str">
            <v>XMBZ2025098</v>
          </cell>
          <cell r="D447">
            <v>45505</v>
          </cell>
          <cell r="E447">
            <v>46234</v>
          </cell>
        </row>
        <row r="448">
          <cell r="A448" t="str">
            <v>悠谷网络科技（上海）有限公司</v>
          </cell>
          <cell r="B448" t="str">
            <v>合同续签协议+补充协议</v>
          </cell>
          <cell r="C448" t="str">
            <v>XMBZ2025099</v>
          </cell>
          <cell r="D448">
            <v>44251</v>
          </cell>
          <cell r="E448">
            <v>46441</v>
          </cell>
        </row>
        <row r="449">
          <cell r="A449" t="str">
            <v>至彩互娱（宿迁）科技有限公司</v>
          </cell>
          <cell r="B449" t="str">
            <v>合同主体变更三方协议</v>
          </cell>
          <cell r="C449" t="str">
            <v>XMBZ2025100</v>
          </cell>
          <cell r="D449">
            <v>45839</v>
          </cell>
          <cell r="E449">
            <v>46713</v>
          </cell>
        </row>
        <row r="450">
          <cell r="A450" t="str">
            <v>广州鑫游网络科技有限公司</v>
          </cell>
          <cell r="B450" t="str">
            <v>合同续签协议</v>
          </cell>
          <cell r="C450" t="str">
            <v>XMBZ2025101</v>
          </cell>
          <cell r="D450">
            <v>45802</v>
          </cell>
          <cell r="E450">
            <v>46531</v>
          </cell>
        </row>
        <row r="451">
          <cell r="A451" t="str">
            <v>深圳市创梦天地科技有限公司</v>
          </cell>
          <cell r="B451" t="str">
            <v>CPS信息服务单（网络游戏）</v>
          </cell>
          <cell r="C451" t="str">
            <v>XMBZ2025102</v>
          </cell>
          <cell r="D451">
            <v>45870</v>
          </cell>
          <cell r="E451">
            <v>46531</v>
          </cell>
        </row>
        <row r="452">
          <cell r="A452" t="str">
            <v>广州玉狐网络科技有限公司</v>
          </cell>
          <cell r="B452" t="str">
            <v>Android游戏SDK联运合作合同</v>
          </cell>
          <cell r="C452" t="str">
            <v>XMBZ2025103</v>
          </cell>
          <cell r="D452">
            <v>45861</v>
          </cell>
          <cell r="E452">
            <v>46956</v>
          </cell>
        </row>
        <row r="453">
          <cell r="A453" t="str">
            <v>广州多美网络科技有限公司</v>
          </cell>
          <cell r="B453" t="str">
            <v>Android游戏SDK联运合作合同</v>
          </cell>
          <cell r="C453" t="str">
            <v>XMBZ2025104</v>
          </cell>
          <cell r="D453">
            <v>45839</v>
          </cell>
          <cell r="E453">
            <v>47299</v>
          </cell>
        </row>
        <row r="454">
          <cell r="A454" t="str">
            <v>长沙掌控智能科技有限公司</v>
          </cell>
          <cell r="B454" t="str">
            <v>推广合作协议（我方甲方）-CPA</v>
          </cell>
          <cell r="C454" t="str">
            <v>XMBZ2025105</v>
          </cell>
          <cell r="D454">
            <v>45859</v>
          </cell>
          <cell r="E454">
            <v>46588</v>
          </cell>
        </row>
        <row r="455">
          <cell r="A455" t="str">
            <v>广州稳顺网络科技有限公司</v>
          </cell>
          <cell r="B455" t="str">
            <v>推广合作协议（我方甲方）-CPA</v>
          </cell>
          <cell r="C455" t="str">
            <v>XMBZ2025106</v>
          </cell>
          <cell r="D455">
            <v>45748</v>
          </cell>
          <cell r="E455">
            <v>46112</v>
          </cell>
        </row>
        <row r="456">
          <cell r="A456" t="str">
            <v>广州聚耀信息科技有限公司</v>
          </cell>
          <cell r="B456" t="str">
            <v>信息技术服务合作协议</v>
          </cell>
          <cell r="C456" t="str">
            <v>XMBZ2025107</v>
          </cell>
          <cell r="D456">
            <v>45871</v>
          </cell>
          <cell r="E456">
            <v>46752</v>
          </cell>
        </row>
        <row r="457">
          <cell r="A457" t="str">
            <v>深圳酷梦网络科技有限公司</v>
          </cell>
          <cell r="B457" t="str">
            <v>Android游戏SDK联运合作合同</v>
          </cell>
          <cell r="C457" t="str">
            <v>XMBZ2025108</v>
          </cell>
          <cell r="D457">
            <v>45874</v>
          </cell>
          <cell r="E457">
            <v>46969</v>
          </cell>
        </row>
        <row r="458">
          <cell r="A458" t="str">
            <v>深圳市乙亥互娱信息科技有限公司</v>
          </cell>
          <cell r="B458" t="str">
            <v>合同续签协议+合作游戏清单</v>
          </cell>
          <cell r="C458" t="str">
            <v>XMBZ2025109</v>
          </cell>
          <cell r="D458">
            <v>44621</v>
          </cell>
          <cell r="E458">
            <v>46447</v>
          </cell>
        </row>
        <row r="459">
          <cell r="A459" t="str">
            <v>广州幻众网络科技有限公司</v>
          </cell>
          <cell r="B459" t="str">
            <v>Android游戏SDK联运合作合同</v>
          </cell>
          <cell r="C459" t="str">
            <v>XMBZ2025110</v>
          </cell>
          <cell r="D459">
            <v>45848</v>
          </cell>
          <cell r="E459">
            <v>46913</v>
          </cell>
        </row>
        <row r="460">
          <cell r="A460" t="str">
            <v>浙江趣辰网络科技有限公司</v>
          </cell>
          <cell r="B460" t="str">
            <v>Android游戏SDK联运合作合同</v>
          </cell>
          <cell r="C460" t="str">
            <v>XMBZ2025111</v>
          </cell>
          <cell r="D460">
            <v>45883</v>
          </cell>
          <cell r="E460">
            <v>46978</v>
          </cell>
        </row>
        <row r="461">
          <cell r="A461" t="str">
            <v>海南冲浪游网络科技有限公司</v>
          </cell>
          <cell r="B461" t="str">
            <v>合同续签协议</v>
          </cell>
          <cell r="C461" t="str">
            <v>XMBZ2025112</v>
          </cell>
          <cell r="D461">
            <v>44256</v>
          </cell>
          <cell r="E461">
            <v>46446</v>
          </cell>
        </row>
        <row r="462">
          <cell r="A462" t="str">
            <v>厦门淦启莱科技有限公司</v>
          </cell>
          <cell r="B462" t="str">
            <v>推广合作协议</v>
          </cell>
          <cell r="C462" t="str">
            <v>XMBZ2025113</v>
          </cell>
          <cell r="D462">
            <v>45841</v>
          </cell>
          <cell r="E462">
            <v>46205</v>
          </cell>
        </row>
        <row r="463">
          <cell r="A463" t="str">
            <v>成都净蓝科技有限公司</v>
          </cell>
          <cell r="B463" t="str">
            <v>推广合作协议</v>
          </cell>
          <cell r="C463" t="str">
            <v>XMBZ2025114</v>
          </cell>
          <cell r="D463">
            <v>45870</v>
          </cell>
          <cell r="E463">
            <v>46234</v>
          </cell>
        </row>
        <row r="464">
          <cell r="A464" t="str">
            <v>广州奇冀网络信息有限公司</v>
          </cell>
          <cell r="B464" t="str">
            <v>Android游戏SDK联运合作合同</v>
          </cell>
          <cell r="C464" t="str">
            <v>XMBZ2025115</v>
          </cell>
          <cell r="D464">
            <v>45901</v>
          </cell>
          <cell r="E464">
            <v>47361</v>
          </cell>
        </row>
        <row r="465">
          <cell r="A465" t="str">
            <v>广州悦玩网络科技有限公司</v>
          </cell>
          <cell r="B465" t="str">
            <v>合同续签协议</v>
          </cell>
          <cell r="C465" t="str">
            <v>XMBZ2025116</v>
          </cell>
          <cell r="D465">
            <v>44228</v>
          </cell>
          <cell r="E465">
            <v>46387</v>
          </cell>
        </row>
        <row r="466">
          <cell r="A466" t="str">
            <v>北京展心展力信息科技有限公司</v>
          </cell>
          <cell r="B466" t="str">
            <v>推广合作协议</v>
          </cell>
          <cell r="C466" t="str">
            <v>XMBZ2025117</v>
          </cell>
          <cell r="D466">
            <v>45880</v>
          </cell>
          <cell r="E466">
            <v>46609</v>
          </cell>
        </row>
        <row r="467">
          <cell r="A467" t="str">
            <v>杭州电梦网络科技有限公司</v>
          </cell>
          <cell r="B467" t="str">
            <v>Android游戏SDK联运合作合同</v>
          </cell>
          <cell r="C467" t="str">
            <v>XMBZ2025118</v>
          </cell>
          <cell r="D467">
            <v>45839</v>
          </cell>
          <cell r="E467">
            <v>47299</v>
          </cell>
        </row>
        <row r="468">
          <cell r="A468" t="str">
            <v>上海趣妮网络科技有限公司</v>
          </cell>
          <cell r="B468" t="str">
            <v>合同续签协议</v>
          </cell>
          <cell r="C468" t="str">
            <v>XMBZ2025119</v>
          </cell>
          <cell r="D468">
            <v>44409</v>
          </cell>
          <cell r="E468">
            <v>46234</v>
          </cell>
        </row>
        <row r="469">
          <cell r="A469" t="str">
            <v>上海巨人统平网络科技有限公司</v>
          </cell>
          <cell r="B469" t="str">
            <v>合作游戏清单</v>
          </cell>
          <cell r="C469" t="str">
            <v>XMBZ2025120</v>
          </cell>
          <cell r="D469">
            <v>45901</v>
          </cell>
          <cell r="E469">
            <v>46082</v>
          </cell>
        </row>
        <row r="470">
          <cell r="A470" t="str">
            <v>苏州巨拓信息科技有限公司</v>
          </cell>
          <cell r="B470" t="str">
            <v>推广合作协议（我方甲方）-CPA</v>
          </cell>
          <cell r="C470" t="str">
            <v>XMBZ2025121</v>
          </cell>
          <cell r="D470">
            <v>45870</v>
          </cell>
          <cell r="E470">
            <v>46234</v>
          </cell>
        </row>
        <row r="471">
          <cell r="A471" t="str">
            <v>北京陆一捌网络科技有限公司</v>
          </cell>
          <cell r="B471" t="str">
            <v>合作游戏清单</v>
          </cell>
          <cell r="C471" t="str">
            <v>XMBZ2025122</v>
          </cell>
          <cell r="D471">
            <v>45778</v>
          </cell>
          <cell r="E471">
            <v>46265</v>
          </cell>
        </row>
        <row r="472">
          <cell r="A472" t="str">
            <v>深圳市极限互动科技有限公司</v>
          </cell>
          <cell r="B472" t="str">
            <v>合同续签协议</v>
          </cell>
          <cell r="C472" t="str">
            <v>XMBZ2025123</v>
          </cell>
          <cell r="D472">
            <v>43832</v>
          </cell>
          <cell r="E472">
            <v>46388</v>
          </cell>
        </row>
        <row r="473">
          <cell r="A473" t="str">
            <v>深圳盟趣科技有限公司</v>
          </cell>
          <cell r="B473" t="str">
            <v>Android游戏SDK联运合作合同</v>
          </cell>
          <cell r="C473" t="str">
            <v>XMBZ2025124</v>
          </cell>
          <cell r="D473">
            <v>45915</v>
          </cell>
          <cell r="E473">
            <v>47010</v>
          </cell>
        </row>
        <row r="474">
          <cell r="A474" t="str">
            <v>杭州巨好玩科技有限公司</v>
          </cell>
          <cell r="B474" t="str">
            <v>平台嵌入合作服务合同</v>
          </cell>
          <cell r="C474" t="str">
            <v>XMBZ2025125</v>
          </cell>
          <cell r="D474">
            <v>45901</v>
          </cell>
          <cell r="E474">
            <v>46631</v>
          </cell>
        </row>
        <row r="475">
          <cell r="A475" t="str">
            <v>南京云游空间信息科技有限公司</v>
          </cell>
          <cell r="B475" t="str">
            <v>推广合作协议（我方甲方）</v>
          </cell>
          <cell r="C475" t="str">
            <v>XMBZ2025126</v>
          </cell>
          <cell r="D475">
            <v>45909</v>
          </cell>
          <cell r="E475">
            <v>46270</v>
          </cell>
        </row>
        <row r="476">
          <cell r="A476" t="str">
            <v>北京六趣网络科技有限公司</v>
          </cell>
          <cell r="B476" t="str">
            <v>应用合作框架协议</v>
          </cell>
          <cell r="C476" t="str">
            <v>XMBZ2025127</v>
          </cell>
          <cell r="D476">
            <v>45940</v>
          </cell>
          <cell r="E476">
            <v>46305</v>
          </cell>
        </row>
        <row r="477">
          <cell r="A477" t="str">
            <v>北京卡普卡网络科技有限公司</v>
          </cell>
          <cell r="B477" t="str">
            <v>推广合作协议（我方甲方）-CPA</v>
          </cell>
          <cell r="C477" t="str">
            <v>XMBZ2025128</v>
          </cell>
          <cell r="D477">
            <v>45901</v>
          </cell>
          <cell r="E477">
            <v>46266</v>
          </cell>
        </row>
        <row r="478">
          <cell r="A478" t="str">
            <v>萱一互娱（邯郸）网络科技有限公司</v>
          </cell>
          <cell r="B478" t="str">
            <v>信息服务框架合同</v>
          </cell>
          <cell r="C478" t="str">
            <v>XMBZ2025129</v>
          </cell>
          <cell r="D478">
            <v>45916</v>
          </cell>
          <cell r="E478">
            <v>46280</v>
          </cell>
        </row>
        <row r="479">
          <cell r="A479" t="str">
            <v>浙江游逸网络科技有限公司</v>
          </cell>
          <cell r="B479" t="str">
            <v>推广合作协议</v>
          </cell>
          <cell r="C479" t="str">
            <v>XMBZ2025130</v>
          </cell>
          <cell r="D479">
            <v>44868</v>
          </cell>
          <cell r="E479">
            <v>45291</v>
          </cell>
        </row>
        <row r="480">
          <cell r="A480" t="str">
            <v>江阴市宇腾网络科技有限公司</v>
          </cell>
          <cell r="B480" t="str">
            <v>Android游戏SDK联运合作合同</v>
          </cell>
          <cell r="C480" t="str">
            <v>XMBZ2025131</v>
          </cell>
          <cell r="D480">
            <v>44903</v>
          </cell>
          <cell r="E480">
            <v>45998</v>
          </cell>
        </row>
        <row r="481">
          <cell r="A481" t="str">
            <v>厦门青瓷文化传播有限公司</v>
          </cell>
          <cell r="B481" t="str">
            <v>手游产品推广服务协议</v>
          </cell>
          <cell r="C481" t="str">
            <v>XMBZ2025132</v>
          </cell>
          <cell r="D481">
            <v>44910</v>
          </cell>
          <cell r="E481">
            <v>45291</v>
          </cell>
        </row>
        <row r="482">
          <cell r="A482" t="str">
            <v>广州梦创科技有限公司</v>
          </cell>
          <cell r="B482" t="str">
            <v>推广合作协议</v>
          </cell>
          <cell r="C482" t="str">
            <v>XMBZ2025133</v>
          </cell>
          <cell r="D482">
            <v>44925</v>
          </cell>
          <cell r="E482">
            <v>45655</v>
          </cell>
        </row>
        <row r="483">
          <cell r="A483" t="str">
            <v>内蒙古智索网络科技有限公司</v>
          </cell>
          <cell r="B483" t="str">
            <v>推广合作协议</v>
          </cell>
          <cell r="C483" t="str">
            <v>XMBZ2025134</v>
          </cell>
          <cell r="D483">
            <v>44888</v>
          </cell>
          <cell r="E483">
            <v>45252</v>
          </cell>
        </row>
        <row r="484">
          <cell r="A484" t="str">
            <v>天津火烈鸟网络科技有限公司</v>
          </cell>
          <cell r="B484" t="str">
            <v>合同变更补充协议</v>
          </cell>
          <cell r="C484" t="str">
            <v>XMBZ2025135</v>
          </cell>
          <cell r="D484">
            <v>44918</v>
          </cell>
          <cell r="E484">
            <v>44985</v>
          </cell>
        </row>
        <row r="485">
          <cell r="A485" t="str">
            <v>来吧科技（海南）有限公司</v>
          </cell>
          <cell r="B485" t="str">
            <v>Android游戏SDK联运合作合同</v>
          </cell>
          <cell r="C485" t="str">
            <v>XMBZ2025136</v>
          </cell>
          <cell r="D485">
            <v>44927</v>
          </cell>
          <cell r="E485">
            <v>45656</v>
          </cell>
        </row>
        <row r="486">
          <cell r="A486" t="str">
            <v>海南大道天相科技有限公司</v>
          </cell>
          <cell r="B486" t="str">
            <v>产品推广合作协议</v>
          </cell>
          <cell r="C486" t="str">
            <v>XMBZ2025137</v>
          </cell>
          <cell r="D486">
            <v>44935</v>
          </cell>
          <cell r="E486">
            <v>45657</v>
          </cell>
        </row>
        <row r="487">
          <cell r="A487" t="str">
            <v>渠县海启科技有限公司</v>
          </cell>
          <cell r="B487" t="str">
            <v>续签协议书</v>
          </cell>
          <cell r="C487" t="str">
            <v>XMBZ2025138</v>
          </cell>
          <cell r="D487">
            <v>44967</v>
          </cell>
          <cell r="E487">
            <v>45332</v>
          </cell>
        </row>
        <row r="488">
          <cell r="A488" t="str">
            <v>咪咕互动娱乐有限公司</v>
          </cell>
          <cell r="B488" t="str">
            <v>《火柴人战争》游戏产品引入合作协议</v>
          </cell>
          <cell r="C488" t="str">
            <v>XMBZ2025139</v>
          </cell>
          <cell r="D488">
            <v>44984</v>
          </cell>
          <cell r="E488">
            <v>45715</v>
          </cell>
        </row>
        <row r="489">
          <cell r="A489" t="str">
            <v>四川速宝网络科技有限公司</v>
          </cell>
          <cell r="B489" t="str">
            <v>迅游手游加速器定价采量推广协议</v>
          </cell>
          <cell r="C489" t="str">
            <v>XMBZ2025140</v>
          </cell>
          <cell r="D489">
            <v>44866</v>
          </cell>
          <cell r="E489">
            <v>45231</v>
          </cell>
        </row>
        <row r="490">
          <cell r="A490" t="str">
            <v>上海米哈游影铁科技有限公司</v>
          </cell>
          <cell r="B490" t="str">
            <v>信息推广服务框架合同</v>
          </cell>
          <cell r="C490" t="str">
            <v>XMBZ2025141</v>
          </cell>
          <cell r="D490">
            <v>44927</v>
          </cell>
          <cell r="E490">
            <v>45658</v>
          </cell>
        </row>
        <row r="491">
          <cell r="A491" t="str">
            <v>深圳市创梦天地科技有限公司</v>
          </cell>
          <cell r="B491" t="str">
            <v>线上渠道游戏推广合同+和解协议（一）、（二）</v>
          </cell>
          <cell r="C491" t="str">
            <v>XMBZ2025142</v>
          </cell>
          <cell r="D491">
            <v>44562</v>
          </cell>
          <cell r="E491">
            <v>45292</v>
          </cell>
        </row>
        <row r="492">
          <cell r="A492" t="str">
            <v>深圳市拇指游玩科技有限公司</v>
          </cell>
          <cell r="B492" t="str">
            <v>Android游戏SDK联运合作合同</v>
          </cell>
          <cell r="C492" t="str">
            <v>XMBZ2025143</v>
          </cell>
          <cell r="D492">
            <v>44915</v>
          </cell>
          <cell r="E492">
            <v>45900</v>
          </cell>
        </row>
        <row r="493">
          <cell r="A493" t="str">
            <v>北京伟兴时讯科技有限公司</v>
          </cell>
          <cell r="B493" t="str">
            <v>信息服务合同</v>
          </cell>
          <cell r="C493" t="str">
            <v>XMBZ2025144</v>
          </cell>
          <cell r="D493">
            <v>44774</v>
          </cell>
          <cell r="E493">
            <v>45291</v>
          </cell>
        </row>
        <row r="494">
          <cell r="A494" t="str">
            <v>深圳市盛游互娱科技有限公司</v>
          </cell>
          <cell r="B494" t="str">
            <v>合同续签协议</v>
          </cell>
          <cell r="C494" t="str">
            <v>XMBZ2025145</v>
          </cell>
          <cell r="D494">
            <v>44957</v>
          </cell>
          <cell r="E494">
            <v>45688</v>
          </cell>
        </row>
        <row r="495">
          <cell r="A495" t="str">
            <v>重庆乐豆游软件科技中心</v>
          </cell>
          <cell r="B495" t="str">
            <v>巴掌互动产品推广合作协议（CPS）</v>
          </cell>
          <cell r="C495" t="str">
            <v>XMBZ2025146</v>
          </cell>
          <cell r="D495">
            <v>44986</v>
          </cell>
          <cell r="E495">
            <v>45350</v>
          </cell>
        </row>
        <row r="496">
          <cell r="A496" t="str">
            <v>成都双晨科技有限公司</v>
          </cell>
          <cell r="B496" t="str">
            <v>产品推广合作协议（CPS）之补充协议</v>
          </cell>
          <cell r="C496" t="str">
            <v>XMBZ2025147</v>
          </cell>
          <cell r="D496">
            <v>44774</v>
          </cell>
          <cell r="E496">
            <v>45392</v>
          </cell>
        </row>
        <row r="497">
          <cell r="A497" t="str">
            <v>浙江游码网络科技有限公司</v>
          </cell>
          <cell r="B497" t="str">
            <v>合作机构反舞弊反商业贿赂协议</v>
          </cell>
          <cell r="C497" t="str">
            <v>XMBZ2025148</v>
          </cell>
          <cell r="D497">
            <v>44927</v>
          </cell>
          <cell r="E497" t="str">
            <v>长期有效</v>
          </cell>
        </row>
        <row r="498">
          <cell r="A498" t="str">
            <v>深圳全游互娱科技有限公司</v>
          </cell>
          <cell r="B498" t="str">
            <v>_Android游戏SDK联运合作合同</v>
          </cell>
          <cell r="C498" t="str">
            <v>XMBZ2025149</v>
          </cell>
          <cell r="D498">
            <v>44409</v>
          </cell>
          <cell r="E498">
            <v>45504</v>
          </cell>
        </row>
        <row r="499">
          <cell r="A499" t="str">
            <v>乐元素科技（北京）股份有限公司</v>
          </cell>
          <cell r="B499" t="str">
            <v>游戏推广合作协议</v>
          </cell>
          <cell r="C499" t="str">
            <v>XMBZ2025150</v>
          </cell>
          <cell r="D499">
            <v>44958</v>
          </cell>
          <cell r="E499">
            <v>45688</v>
          </cell>
        </row>
        <row r="500">
          <cell r="A500" t="str">
            <v>深圳市盛游互娱科技有限公司</v>
          </cell>
          <cell r="B500" t="str">
            <v>合同主体变更三方协议</v>
          </cell>
          <cell r="C500" t="str">
            <v>XMBZ2025151</v>
          </cell>
          <cell r="D500">
            <v>44927</v>
          </cell>
          <cell r="E500">
            <v>45291</v>
          </cell>
        </row>
        <row r="501">
          <cell r="A501" t="str">
            <v>上海指间游网络科技有限公司</v>
          </cell>
          <cell r="B501" t="str">
            <v>合同主体变更三方协议</v>
          </cell>
          <cell r="C501" t="str">
            <v>XMBZ2025152</v>
          </cell>
          <cell r="D501">
            <v>44958</v>
          </cell>
          <cell r="E501">
            <v>45322</v>
          </cell>
        </row>
        <row r="502">
          <cell r="A502" t="str">
            <v>上海趣妮网络科技有限公司</v>
          </cell>
          <cell r="B502" t="str">
            <v>合同续签协议+24年合同续签协议</v>
          </cell>
          <cell r="C502" t="str">
            <v>XMBZ2025153</v>
          </cell>
          <cell r="D502">
            <v>44774</v>
          </cell>
          <cell r="E502">
            <v>45869</v>
          </cell>
        </row>
        <row r="503">
          <cell r="A503" t="str">
            <v>上海简玩网络科技有限公司</v>
          </cell>
          <cell r="B503" t="str">
            <v>合同续签协议</v>
          </cell>
          <cell r="C503" t="str">
            <v>XMBZ2025154</v>
          </cell>
          <cell r="D503">
            <v>44984</v>
          </cell>
          <cell r="E503">
            <v>45649</v>
          </cell>
        </row>
        <row r="504">
          <cell r="A504" t="str">
            <v>昆山明帆信息科技有限公司</v>
          </cell>
          <cell r="B504" t="str">
            <v>产品推广合作协议（CPS）</v>
          </cell>
          <cell r="C504" t="str">
            <v>XMBZ2025155</v>
          </cell>
          <cell r="D504">
            <v>44958</v>
          </cell>
          <cell r="E504">
            <v>46053</v>
          </cell>
        </row>
        <row r="505">
          <cell r="A505" t="str">
            <v>武汉中尚晖跃网络科技有限公司</v>
          </cell>
          <cell r="B505" t="str">
            <v>合同主体变更三方协议</v>
          </cell>
          <cell r="C505" t="str">
            <v>XMBZ2025156</v>
          </cell>
          <cell r="D505">
            <v>44896</v>
          </cell>
          <cell r="E505">
            <v>46247</v>
          </cell>
        </row>
        <row r="506">
          <cell r="A506" t="str">
            <v>杭州优量汇科技文化有限公司</v>
          </cell>
          <cell r="B506" t="str">
            <v>推广合作协议</v>
          </cell>
          <cell r="C506" t="str">
            <v>XMBZ2025157</v>
          </cell>
          <cell r="D506">
            <v>44915</v>
          </cell>
          <cell r="E506">
            <v>45279</v>
          </cell>
        </row>
        <row r="507">
          <cell r="A507" t="str">
            <v>北京比特漫步科技有限公司</v>
          </cell>
          <cell r="B507" t="str">
            <v>7723&amp;ohayoo合作协议</v>
          </cell>
          <cell r="C507" t="str">
            <v>XMBZ2025158</v>
          </cell>
          <cell r="D507">
            <v>44995</v>
          </cell>
          <cell r="E507">
            <v>45649</v>
          </cell>
        </row>
        <row r="508">
          <cell r="A508" t="str">
            <v>成都谊睿拓信息技术有限公司</v>
          </cell>
          <cell r="B508" t="str">
            <v>Android游戏SDK联运合作合同</v>
          </cell>
          <cell r="C508" t="str">
            <v>XMBZ2025159</v>
          </cell>
          <cell r="D508">
            <v>44844</v>
          </cell>
          <cell r="E508">
            <v>45939</v>
          </cell>
        </row>
        <row r="509">
          <cell r="A509" t="str">
            <v>上海巨人统平网络科技有限公司</v>
          </cell>
          <cell r="B509" t="str">
            <v>CPS游戏推广合作协议+补充协议+补充协议+合同补充协议（续签至2025年底）</v>
          </cell>
          <cell r="C509" t="str">
            <v>XMBZ2025160</v>
          </cell>
          <cell r="D509">
            <v>44999</v>
          </cell>
          <cell r="E509">
            <v>46022</v>
          </cell>
        </row>
        <row r="510">
          <cell r="A510" t="str">
            <v>宿州手游互动信息技术有限公司</v>
          </cell>
          <cell r="B510" t="str">
            <v>Android游戏SDK联运合作合同</v>
          </cell>
          <cell r="C510" t="str">
            <v>XMBZ2025161</v>
          </cell>
          <cell r="D510">
            <v>44986</v>
          </cell>
          <cell r="E510">
            <v>46446</v>
          </cell>
        </row>
        <row r="511">
          <cell r="A511" t="str">
            <v>广州叁游网络科技有限公司</v>
          </cell>
          <cell r="B511" t="str">
            <v>Android游戏SDK联运合作合同+主体变更协议</v>
          </cell>
          <cell r="C511" t="str">
            <v>XMBZ2025162</v>
          </cell>
          <cell r="D511">
            <v>44531</v>
          </cell>
          <cell r="E511">
            <v>46753</v>
          </cell>
        </row>
        <row r="512">
          <cell r="A512" t="str">
            <v>深圳市前海创梦科技有限公司</v>
          </cell>
          <cell r="B512" t="str">
            <v>渠道广告分成合作协议+广告信息服务单</v>
          </cell>
          <cell r="C512" t="str">
            <v>XMBZ2025163</v>
          </cell>
          <cell r="D512">
            <v>45017</v>
          </cell>
          <cell r="E512">
            <v>45748</v>
          </cell>
        </row>
        <row r="513">
          <cell r="A513" t="str">
            <v>北京聚优量科技有限公司</v>
          </cell>
          <cell r="B513" t="str">
            <v>推广合作协议</v>
          </cell>
          <cell r="C513" t="str">
            <v>XMBZ2025164</v>
          </cell>
          <cell r="D513">
            <v>44958</v>
          </cell>
          <cell r="E513">
            <v>45322</v>
          </cell>
        </row>
        <row r="514">
          <cell r="A514" t="str">
            <v>广州爱玩网络科技有限公司</v>
          </cell>
          <cell r="B514" t="str">
            <v>Android游戏SDK联运合作合同</v>
          </cell>
          <cell r="C514" t="str">
            <v>XMBZ2025165</v>
          </cell>
          <cell r="D514">
            <v>44896</v>
          </cell>
          <cell r="E514">
            <v>45991</v>
          </cell>
        </row>
        <row r="515">
          <cell r="A515" t="str">
            <v>上海研漾数字科技有限公司</v>
          </cell>
          <cell r="B515" t="str">
            <v>推广合作协议</v>
          </cell>
          <cell r="C515" t="str">
            <v>XMBZ2025166</v>
          </cell>
          <cell r="D515">
            <v>45030</v>
          </cell>
          <cell r="E515">
            <v>45395</v>
          </cell>
        </row>
        <row r="516">
          <cell r="A516" t="str">
            <v>广州启航互娱网络科技有限公司</v>
          </cell>
          <cell r="B516" t="str">
            <v>Android游戏SDK联运合作合同</v>
          </cell>
          <cell r="C516" t="str">
            <v>XMBZ2025167</v>
          </cell>
          <cell r="D516">
            <v>44835</v>
          </cell>
          <cell r="E516">
            <v>45930</v>
          </cell>
        </row>
        <row r="517">
          <cell r="A517" t="str">
            <v>上海棠游网络科技有限公司</v>
          </cell>
          <cell r="B517" t="str">
            <v>Android游戏SDK联运合作合同</v>
          </cell>
          <cell r="C517" t="str">
            <v>XMBZ2025168</v>
          </cell>
          <cell r="D517">
            <v>45017</v>
          </cell>
          <cell r="E517">
            <v>46113</v>
          </cell>
        </row>
        <row r="518">
          <cell r="A518" t="str">
            <v>海南启动互娱网络科技有限公司</v>
          </cell>
          <cell r="B518" t="str">
            <v>Android游戏SDK联运合作合同</v>
          </cell>
          <cell r="C518" t="str">
            <v>XMBZ2025169</v>
          </cell>
          <cell r="D518">
            <v>44969</v>
          </cell>
          <cell r="E518">
            <v>46064</v>
          </cell>
        </row>
        <row r="519">
          <cell r="A519" t="str">
            <v>北京虹宇信泰科技有限公司</v>
          </cell>
          <cell r="B519" t="str">
            <v>推广合作协议</v>
          </cell>
          <cell r="C519" t="str">
            <v>XMBZ2025170</v>
          </cell>
          <cell r="D519">
            <v>44932</v>
          </cell>
          <cell r="E519">
            <v>45296</v>
          </cell>
        </row>
        <row r="520">
          <cell r="A520" t="str">
            <v>深圳市享玩互愉网络科技有限公司</v>
          </cell>
          <cell r="B520" t="str">
            <v>Android游戏SDK联运合作合同</v>
          </cell>
          <cell r="C520" t="str">
            <v>XMBZ2025171</v>
          </cell>
          <cell r="D520">
            <v>45033</v>
          </cell>
          <cell r="E520">
            <v>46493</v>
          </cell>
        </row>
        <row r="521">
          <cell r="A521" t="str">
            <v>上海卓安信息科技有限公司</v>
          </cell>
          <cell r="B521" t="str">
            <v>推广合作协议</v>
          </cell>
          <cell r="C521" t="str">
            <v>XMBZ2025172</v>
          </cell>
          <cell r="D521">
            <v>45033</v>
          </cell>
          <cell r="E521">
            <v>46022</v>
          </cell>
        </row>
        <row r="522">
          <cell r="A522" t="str">
            <v>北京陆一捌网络科技有限公司</v>
          </cell>
          <cell r="B522" t="str">
            <v>Android游戏SDK联运合作合同</v>
          </cell>
          <cell r="C522" t="str">
            <v>XMBZ2025173</v>
          </cell>
          <cell r="D522">
            <v>44805</v>
          </cell>
          <cell r="E522">
            <v>46265</v>
          </cell>
        </row>
        <row r="523">
          <cell r="A523" t="str">
            <v>上海乐慧游易信息技术有限公司</v>
          </cell>
          <cell r="B523" t="str">
            <v>Android游戏SDK联运合作合同</v>
          </cell>
          <cell r="C523" t="str">
            <v>XMBZ2025174</v>
          </cell>
          <cell r="D523">
            <v>45041</v>
          </cell>
          <cell r="E523">
            <v>46136</v>
          </cell>
        </row>
        <row r="524">
          <cell r="A524" t="str">
            <v>北京开瑞天成科技有限公司</v>
          </cell>
          <cell r="B524" t="str">
            <v>推广合作协议</v>
          </cell>
          <cell r="C524" t="str">
            <v>XMBZ2025175</v>
          </cell>
          <cell r="D524">
            <v>45016</v>
          </cell>
          <cell r="E524">
            <v>45381</v>
          </cell>
        </row>
        <row r="525">
          <cell r="A525" t="str">
            <v>上海趣朗网络科技有限公司</v>
          </cell>
          <cell r="B525" t="str">
            <v>《CPS信息技术服务框架协议》主体变更补充协议</v>
          </cell>
          <cell r="C525" t="str">
            <v>XMBZ2025176</v>
          </cell>
          <cell r="D525">
            <v>44805</v>
          </cell>
          <cell r="E525">
            <v>45838</v>
          </cell>
        </row>
        <row r="526">
          <cell r="A526" t="str">
            <v>上海趣朗网络科技有限公司</v>
          </cell>
          <cell r="B526" t="str">
            <v>《信息服务框架协议》主体变更补充协议+补充协议（火柴人战争、男人逆袭记）</v>
          </cell>
          <cell r="C526" t="str">
            <v>XMBZ2025177</v>
          </cell>
          <cell r="D526">
            <v>44743</v>
          </cell>
          <cell r="E526">
            <v>45107</v>
          </cell>
        </row>
        <row r="527">
          <cell r="A527" t="str">
            <v>厦门简创网络科技有限公司</v>
          </cell>
          <cell r="B527" t="str">
            <v>《火柴人模拟沙盒》独家许可协议</v>
          </cell>
          <cell r="C527" t="str">
            <v>XMBZ2025178</v>
          </cell>
          <cell r="D527">
            <v>45005</v>
          </cell>
          <cell r="E527">
            <v>45735</v>
          </cell>
        </row>
        <row r="528">
          <cell r="A528" t="str">
            <v>海南盈泰网络技术有限公司</v>
          </cell>
          <cell r="B528" t="str">
            <v>产品推广合作协议</v>
          </cell>
          <cell r="C528" t="str">
            <v>XMBZ2025179</v>
          </cell>
          <cell r="D528">
            <v>44935</v>
          </cell>
          <cell r="E528">
            <v>45291</v>
          </cell>
        </row>
        <row r="529">
          <cell r="A529" t="str">
            <v>广州够玩网络科技有限公司</v>
          </cell>
          <cell r="B529" t="str">
            <v>推广合作协议</v>
          </cell>
          <cell r="C529" t="str">
            <v>XMBZ2025180</v>
          </cell>
          <cell r="D529">
            <v>44929</v>
          </cell>
          <cell r="E529">
            <v>45293</v>
          </cell>
        </row>
        <row r="530">
          <cell r="A530" t="str">
            <v>标杆未来科技（深圳）有限公司</v>
          </cell>
          <cell r="B530" t="str">
            <v>Android游戏SDK联运合作合同</v>
          </cell>
          <cell r="C530" t="str">
            <v>XMBZ2023048</v>
          </cell>
          <cell r="D530">
            <v>45017</v>
          </cell>
          <cell r="E530">
            <v>46477</v>
          </cell>
        </row>
        <row r="531">
          <cell r="A531" t="str">
            <v>广州市友趣科技有限公司</v>
          </cell>
          <cell r="B531" t="str">
            <v>产品推广合作协议（CPS）+补充协议</v>
          </cell>
          <cell r="C531" t="str">
            <v>XMBZ2023049</v>
          </cell>
          <cell r="D531">
            <v>45047</v>
          </cell>
          <cell r="E531">
            <v>46143</v>
          </cell>
        </row>
        <row r="532">
          <cell r="A532" t="str">
            <v>成都北星互娱科技有限公司</v>
          </cell>
          <cell r="B532" t="str">
            <v>产品推广协议</v>
          </cell>
          <cell r="C532" t="str">
            <v>XMBZ2023050</v>
          </cell>
          <cell r="D532">
            <v>45061</v>
          </cell>
          <cell r="E532">
            <v>45428</v>
          </cell>
        </row>
        <row r="533">
          <cell r="A533" t="str">
            <v>上海灿樱子网络科技有限公司</v>
          </cell>
          <cell r="B533" t="str">
            <v>互联网信息服务框架合同</v>
          </cell>
          <cell r="C533" t="str">
            <v>XMBZ2023051</v>
          </cell>
          <cell r="D533">
            <v>45064</v>
          </cell>
          <cell r="E533">
            <v>45430</v>
          </cell>
        </row>
        <row r="534">
          <cell r="A534" t="str">
            <v>广州星兴游网络科技有限公司</v>
          </cell>
          <cell r="B534" t="str">
            <v>Android游戏SDK联运合作合同</v>
          </cell>
          <cell r="C534" t="str">
            <v>XMBZ2023052</v>
          </cell>
          <cell r="D534">
            <v>45047</v>
          </cell>
          <cell r="E534">
            <v>46142</v>
          </cell>
        </row>
        <row r="535">
          <cell r="A535" t="str">
            <v>北京十九岁网络科技有限公司</v>
          </cell>
          <cell r="B535" t="str">
            <v>Android游戏SDK联运合作合同</v>
          </cell>
          <cell r="C535" t="str">
            <v>XMBZ2023053</v>
          </cell>
          <cell r="D535">
            <v>45047</v>
          </cell>
          <cell r="E535">
            <v>46142</v>
          </cell>
        </row>
        <row r="536">
          <cell r="A536" t="str">
            <v>武汉皮咖互娱科技有限公司</v>
          </cell>
          <cell r="B536" t="str">
            <v>Android游戏SDK联运合作合同</v>
          </cell>
          <cell r="C536" t="str">
            <v>XMBZ2023054</v>
          </cell>
          <cell r="D536">
            <v>45017</v>
          </cell>
          <cell r="E536">
            <v>46112</v>
          </cell>
        </row>
        <row r="537">
          <cell r="A537" t="str">
            <v>上海愉趣网络科技有限公司</v>
          </cell>
          <cell r="B537" t="str">
            <v>单次合作产品接入协议+产品接入合作框架协议（小美斗地主、指尖捕鱼）</v>
          </cell>
          <cell r="C537" t="str">
            <v>XMBZ2023055</v>
          </cell>
          <cell r="D537">
            <v>45017</v>
          </cell>
          <cell r="E537">
            <v>45382</v>
          </cell>
        </row>
        <row r="538">
          <cell r="A538" t="str">
            <v>上海姚际信息科技有限公司</v>
          </cell>
          <cell r="B538" t="str">
            <v>单次合作产品接入协议+产品接入合作框架协议（大神捕鱼）</v>
          </cell>
          <cell r="C538" t="str">
            <v>XMBZ2023056</v>
          </cell>
          <cell r="D538">
            <v>45017</v>
          </cell>
          <cell r="E538">
            <v>45382</v>
          </cell>
        </row>
        <row r="539">
          <cell r="A539" t="str">
            <v>深圳市凉屋游戏科技有限公司</v>
          </cell>
          <cell r="B539" t="str">
            <v>Android游戏SDK联运合作合同+运营授权书&lt;元气骑士&gt;</v>
          </cell>
          <cell r="C539" t="str">
            <v>XMBZ2023057</v>
          </cell>
          <cell r="D539">
            <v>45077</v>
          </cell>
          <cell r="E539">
            <v>46904</v>
          </cell>
        </row>
        <row r="540">
          <cell r="A540" t="str">
            <v>广州雁群科技有限公司</v>
          </cell>
          <cell r="B540" t="str">
            <v>Android游戏SDK联运合作合同</v>
          </cell>
          <cell r="C540" t="str">
            <v>XMBZ2023058</v>
          </cell>
          <cell r="D540">
            <v>45078</v>
          </cell>
          <cell r="E540">
            <v>46173</v>
          </cell>
        </row>
        <row r="541">
          <cell r="A541" t="str">
            <v>北京理想光芒科技有限公司</v>
          </cell>
          <cell r="B541" t="str">
            <v>推广合作协议</v>
          </cell>
          <cell r="C541" t="str">
            <v>XMBZ2023059</v>
          </cell>
          <cell r="D541">
            <v>45017</v>
          </cell>
          <cell r="E541">
            <v>45382</v>
          </cell>
        </row>
        <row r="542">
          <cell r="A542" t="str">
            <v>深圳市掌游趣玩科技有限公司</v>
          </cell>
          <cell r="B542" t="str">
            <v>Android游戏SDK联运合作合同</v>
          </cell>
          <cell r="C542" t="str">
            <v>XMBZ2023060</v>
          </cell>
          <cell r="D542">
            <v>45005</v>
          </cell>
          <cell r="E542">
            <v>46439</v>
          </cell>
        </row>
        <row r="543">
          <cell r="A543" t="str">
            <v>陕西绝峰易游网络科技有限公司</v>
          </cell>
          <cell r="B543" t="str">
            <v>Android游戏SDK联运合作合同</v>
          </cell>
          <cell r="C543" t="str">
            <v>XMBZ2023061</v>
          </cell>
          <cell r="D543">
            <v>44974</v>
          </cell>
          <cell r="E543">
            <v>46069</v>
          </cell>
        </row>
        <row r="544">
          <cell r="A544" t="str">
            <v>密山市翊宸互娱网络科技有限公司</v>
          </cell>
          <cell r="B544" t="str">
            <v>推广合作协议</v>
          </cell>
          <cell r="C544" t="str">
            <v>XMBZ2023062</v>
          </cell>
          <cell r="D544">
            <v>45054</v>
          </cell>
          <cell r="E544">
            <v>45419</v>
          </cell>
        </row>
        <row r="545">
          <cell r="A545" t="str">
            <v>上海巨人统平网络科技有限公司</v>
          </cell>
          <cell r="B545" t="str">
            <v>Android游戏SDK联运合作合同</v>
          </cell>
          <cell r="C545" t="str">
            <v>XMBZ2023063</v>
          </cell>
          <cell r="D545">
            <v>44986</v>
          </cell>
          <cell r="E545">
            <v>46082</v>
          </cell>
        </row>
        <row r="546">
          <cell r="A546" t="str">
            <v>广州游龙互娱网络科技有限公司</v>
          </cell>
          <cell r="B546" t="str">
            <v>Android游戏SDK联运合作合同</v>
          </cell>
          <cell r="C546" t="str">
            <v>XMBZ2023064</v>
          </cell>
          <cell r="D546">
            <v>45017</v>
          </cell>
          <cell r="E546">
            <v>46112</v>
          </cell>
        </row>
        <row r="547">
          <cell r="A547" t="str">
            <v>上海赢谦嘉科技有限公司</v>
          </cell>
          <cell r="B547" t="str">
            <v>Android游戏SDK联运合作合同</v>
          </cell>
          <cell r="C547" t="str">
            <v>XMBZ2023065</v>
          </cell>
          <cell r="D547">
            <v>45047</v>
          </cell>
          <cell r="E547">
            <v>46142</v>
          </cell>
        </row>
        <row r="548">
          <cell r="A548" t="str">
            <v>淘腾互动科技（深圳）有限公司</v>
          </cell>
          <cell r="B548" t="str">
            <v>游戏独家代理协议合同主体变更三方协议</v>
          </cell>
          <cell r="C548" t="str">
            <v>XMBZ2023066</v>
          </cell>
          <cell r="D548">
            <v>44805</v>
          </cell>
          <cell r="E548">
            <v>45901</v>
          </cell>
        </row>
        <row r="549">
          <cell r="A549" t="str">
            <v>深圳市腾讯计算机系统有限公司</v>
          </cell>
          <cell r="B549" t="str">
            <v>腾讯QQ小游戏联盟渠道推广合作协议</v>
          </cell>
          <cell r="C549" t="str">
            <v>XMBZ2023067</v>
          </cell>
          <cell r="D549">
            <v>45017</v>
          </cell>
          <cell r="E549">
            <v>45657</v>
          </cell>
        </row>
        <row r="550">
          <cell r="A550" t="str">
            <v>深圳市星期天网络科技有限公司</v>
          </cell>
          <cell r="B550" t="str">
            <v>Android游戏SDK联运合作合同</v>
          </cell>
          <cell r="C550" t="str">
            <v>XMBZ2023068</v>
          </cell>
          <cell r="D550">
            <v>45107</v>
          </cell>
          <cell r="E550">
            <v>46202</v>
          </cell>
        </row>
        <row r="551">
          <cell r="A551" t="str">
            <v>安徽云境网络科技有限公司</v>
          </cell>
          <cell r="B551" t="str">
            <v>流量交易技术平台测试合同</v>
          </cell>
          <cell r="C551" t="str">
            <v>XMBZ2023069</v>
          </cell>
          <cell r="D551">
            <v>44805</v>
          </cell>
          <cell r="E551">
            <v>45901</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32"/>
  <sheetViews>
    <sheetView workbookViewId="0">
      <selection activeCell="A1" sqref="$A1:$XFD1"/>
    </sheetView>
  </sheetViews>
  <sheetFormatPr defaultColWidth="9" defaultRowHeight="16.5"/>
  <cols>
    <col min="1" max="1" width="0.5" style="82" customWidth="1"/>
    <col min="2" max="2" width="17.375" style="79" customWidth="1"/>
    <col min="3" max="3" width="11.625" style="79" customWidth="1"/>
    <col min="4" max="4" width="23.875" style="79" customWidth="1"/>
    <col min="5" max="5" width="18.25" style="79" customWidth="1"/>
    <col min="6" max="6" width="12" style="79" customWidth="1"/>
    <col min="7" max="7" width="14.75" style="79" customWidth="1"/>
    <col min="8" max="8" width="11.625" style="79" customWidth="1"/>
    <col min="9" max="9" width="9.88333333333333" style="79" customWidth="1"/>
    <col min="10" max="10" width="13.3833333333333" style="79" customWidth="1"/>
    <col min="11" max="11" width="16.8833333333333" style="79" customWidth="1"/>
    <col min="12" max="12" width="9.375" style="79" customWidth="1"/>
    <col min="13" max="13" width="8.5" style="80" customWidth="1"/>
    <col min="14" max="16384" width="9" style="82"/>
  </cols>
  <sheetData>
    <row r="1" s="82" customFormat="1" ht="30" spans="2:13">
      <c r="B1" s="1" t="s">
        <v>0</v>
      </c>
      <c r="C1" s="1"/>
      <c r="D1" s="1"/>
      <c r="E1" s="1"/>
      <c r="F1" s="1"/>
      <c r="G1" s="1"/>
      <c r="H1" s="1"/>
      <c r="I1" s="1"/>
      <c r="J1" s="1"/>
      <c r="K1" s="1"/>
      <c r="L1" s="1"/>
      <c r="M1" s="2"/>
    </row>
    <row r="2" s="82" customFormat="1" ht="20.1" customHeight="1" spans="2:13">
      <c r="B2" s="3" t="s">
        <v>1</v>
      </c>
      <c r="C2" s="4" t="s">
        <v>2</v>
      </c>
      <c r="D2" s="4" t="s">
        <v>3</v>
      </c>
      <c r="E2" s="4" t="s">
        <v>4</v>
      </c>
      <c r="F2" s="4" t="s">
        <v>5</v>
      </c>
      <c r="G2" s="4" t="s">
        <v>6</v>
      </c>
      <c r="H2" s="4" t="s">
        <v>7</v>
      </c>
      <c r="I2" s="4" t="s">
        <v>8</v>
      </c>
      <c r="J2" s="4" t="s">
        <v>9</v>
      </c>
      <c r="K2" s="4" t="s">
        <v>10</v>
      </c>
      <c r="L2" s="4" t="s">
        <v>11</v>
      </c>
      <c r="M2" s="5" t="s">
        <v>12</v>
      </c>
    </row>
    <row r="3" s="82" customFormat="1" ht="20.1" customHeight="1" spans="2:13">
      <c r="B3" s="6" t="s">
        <v>13</v>
      </c>
      <c r="C3" s="7" t="s">
        <v>14</v>
      </c>
      <c r="D3" s="8" t="s">
        <v>15</v>
      </c>
      <c r="E3" s="9">
        <v>960506</v>
      </c>
      <c r="F3" s="9"/>
      <c r="G3" s="10">
        <v>52488</v>
      </c>
      <c r="H3" s="11">
        <v>0.05</v>
      </c>
      <c r="I3" s="11">
        <v>0</v>
      </c>
      <c r="J3" s="11">
        <v>0.3</v>
      </c>
      <c r="K3" s="12">
        <f>IF(M3&gt;0,ROUND(((E3-G3)*M3-F3-L3)*(1-H3)*J3*(1-I3),2),ROUND((E3-F3-L3-G3)*(1-H3)*J3*(1-I3),2))</f>
        <v>1293.93</v>
      </c>
      <c r="L3" s="13"/>
      <c r="M3" s="14">
        <v>0.005</v>
      </c>
    </row>
    <row r="4" s="82" customFormat="1" ht="20.1" customHeight="1" spans="2:13">
      <c r="B4" s="6" t="s">
        <v>13</v>
      </c>
      <c r="C4" s="7" t="s">
        <v>14</v>
      </c>
      <c r="D4" s="8" t="s">
        <v>16</v>
      </c>
      <c r="E4" s="9">
        <v>256282</v>
      </c>
      <c r="F4" s="9">
        <v>0</v>
      </c>
      <c r="G4" s="10">
        <v>44712</v>
      </c>
      <c r="H4" s="11">
        <v>0.05</v>
      </c>
      <c r="I4" s="11">
        <v>0</v>
      </c>
      <c r="J4" s="11">
        <v>0.3</v>
      </c>
      <c r="K4" s="12">
        <f>IF(M4&gt;0,ROUND(((E4-G4)*M4-F4-L4)*(1-H4)*J4*(1-I4),2),ROUND((E4-F4-L4-G4)*(1-H4)*J4*(1-I4),2))</f>
        <v>301.49</v>
      </c>
      <c r="L4" s="13"/>
      <c r="M4" s="14">
        <v>0.005</v>
      </c>
    </row>
    <row r="5" s="82" customFormat="1" ht="20.1" customHeight="1" spans="2:13">
      <c r="B5" s="6" t="s">
        <v>13</v>
      </c>
      <c r="C5" s="7" t="s">
        <v>14</v>
      </c>
      <c r="D5" s="8" t="s">
        <v>17</v>
      </c>
      <c r="E5" s="9">
        <v>48600</v>
      </c>
      <c r="F5" s="9">
        <v>0</v>
      </c>
      <c r="G5" s="10">
        <v>7128</v>
      </c>
      <c r="H5" s="11">
        <v>0.05</v>
      </c>
      <c r="I5" s="11">
        <v>0</v>
      </c>
      <c r="J5" s="11">
        <v>0.3</v>
      </c>
      <c r="K5" s="12">
        <f>IF(M5&gt;0,ROUND(((E5-G5)*M5-F5-L5)*(1-H5)*J5*(1-I5),2),ROUND((E5-F5-L5-G5)*(1-H5)*J5*(1-I5),2))</f>
        <v>59.1</v>
      </c>
      <c r="L5" s="13"/>
      <c r="M5" s="14">
        <v>0.005</v>
      </c>
    </row>
    <row r="6" s="82" customFormat="1" ht="20.1" customHeight="1" spans="2:13">
      <c r="B6" s="15" t="s">
        <v>18</v>
      </c>
      <c r="C6" s="16"/>
      <c r="D6" s="16"/>
      <c r="E6" s="17">
        <f t="shared" ref="E6:G6" si="0">SUM(E3:E5)</f>
        <v>1265388</v>
      </c>
      <c r="F6" s="17">
        <f t="shared" si="0"/>
        <v>0</v>
      </c>
      <c r="G6" s="17">
        <f t="shared" si="0"/>
        <v>104328</v>
      </c>
      <c r="H6" s="17"/>
      <c r="I6" s="17"/>
      <c r="J6" s="17"/>
      <c r="K6" s="17">
        <f>SUM(K3:K5)</f>
        <v>1654.52</v>
      </c>
      <c r="L6" s="18"/>
      <c r="M6" s="19"/>
    </row>
    <row r="7" s="82" customFormat="1" ht="18" spans="2:13">
      <c r="B7" s="20" t="s">
        <v>19</v>
      </c>
      <c r="C7" s="21"/>
      <c r="D7" s="21"/>
      <c r="E7" s="22"/>
      <c r="F7" s="23"/>
      <c r="G7" s="23"/>
      <c r="H7" s="24" t="s">
        <v>20</v>
      </c>
      <c r="I7" s="24"/>
      <c r="J7" s="25"/>
      <c r="K7" s="25"/>
      <c r="L7" s="26"/>
      <c r="M7" s="27"/>
    </row>
    <row r="8" s="82" customFormat="1" spans="2:13">
      <c r="B8" s="28" t="s">
        <v>21</v>
      </c>
      <c r="C8" s="29" t="s">
        <v>22</v>
      </c>
      <c r="D8" s="30"/>
      <c r="E8" s="31"/>
      <c r="F8" s="30"/>
      <c r="G8" s="30"/>
      <c r="H8" s="32" t="s">
        <v>23</v>
      </c>
      <c r="I8" s="33" t="s">
        <v>24</v>
      </c>
      <c r="J8" s="34"/>
      <c r="K8" s="34"/>
      <c r="L8" s="34"/>
      <c r="M8" s="35"/>
    </row>
    <row r="9" s="82" customFormat="1" spans="2:13">
      <c r="B9" s="28" t="s">
        <v>25</v>
      </c>
      <c r="C9" s="36" t="s">
        <v>26</v>
      </c>
      <c r="D9" s="36"/>
      <c r="E9" s="37"/>
      <c r="F9" s="34"/>
      <c r="G9" s="34"/>
      <c r="H9" s="32" t="s">
        <v>27</v>
      </c>
      <c r="I9" s="33" t="s">
        <v>28</v>
      </c>
      <c r="J9" s="34"/>
      <c r="K9" s="34"/>
      <c r="L9" s="34"/>
      <c r="M9" s="35"/>
    </row>
    <row r="10" s="82" customFormat="1" spans="2:13">
      <c r="B10" s="28" t="s">
        <v>29</v>
      </c>
      <c r="C10" s="36" t="s">
        <v>30</v>
      </c>
      <c r="D10" s="36"/>
      <c r="E10" s="37"/>
      <c r="F10" s="34"/>
      <c r="G10" s="34"/>
      <c r="H10" s="32" t="s">
        <v>31</v>
      </c>
      <c r="I10" s="38" t="s">
        <v>32</v>
      </c>
      <c r="J10" s="39"/>
      <c r="K10" s="39"/>
      <c r="L10" s="39"/>
      <c r="M10" s="35"/>
    </row>
    <row r="11" s="82" customFormat="1" ht="15" customHeight="1" spans="2:13">
      <c r="B11" s="28" t="s">
        <v>33</v>
      </c>
      <c r="C11" s="40" t="s">
        <v>34</v>
      </c>
      <c r="D11" s="40"/>
      <c r="E11" s="41"/>
      <c r="F11" s="34"/>
      <c r="G11" s="34"/>
      <c r="H11" s="42"/>
      <c r="I11" s="39"/>
      <c r="J11" s="39"/>
      <c r="K11" s="39"/>
      <c r="L11" s="39"/>
      <c r="M11" s="35"/>
    </row>
    <row r="12" s="82" customFormat="1" spans="2:13">
      <c r="B12" s="28" t="s">
        <v>35</v>
      </c>
      <c r="C12" s="36" t="s">
        <v>36</v>
      </c>
      <c r="D12" s="36"/>
      <c r="E12" s="37"/>
      <c r="F12" s="34"/>
      <c r="G12" s="34"/>
      <c r="H12" s="42"/>
      <c r="I12" s="39"/>
      <c r="J12" s="39"/>
      <c r="K12" s="39"/>
      <c r="L12" s="39"/>
      <c r="M12" s="35"/>
    </row>
    <row r="13" s="82" customFormat="1" spans="2:13">
      <c r="B13" s="28" t="s">
        <v>37</v>
      </c>
      <c r="C13" s="43" t="s">
        <v>38</v>
      </c>
      <c r="D13" s="43"/>
      <c r="E13" s="44"/>
      <c r="F13" s="39"/>
      <c r="G13" s="39"/>
      <c r="H13" s="42"/>
      <c r="I13" s="39"/>
      <c r="J13" s="39"/>
      <c r="K13" s="39"/>
      <c r="L13" s="39"/>
      <c r="M13" s="35"/>
    </row>
    <row r="14" s="82" customFormat="1" spans="2:13">
      <c r="B14" s="45" t="s">
        <v>39</v>
      </c>
      <c r="C14" s="46" t="s">
        <v>40</v>
      </c>
      <c r="D14" s="46"/>
      <c r="E14" s="47"/>
      <c r="F14" s="48"/>
      <c r="G14" s="48"/>
      <c r="H14" s="49"/>
      <c r="I14" s="50"/>
      <c r="J14" s="50"/>
      <c r="K14" s="50"/>
      <c r="L14" s="50"/>
      <c r="M14" s="51"/>
    </row>
    <row r="15" s="82" customFormat="1" customHeight="1" spans="2:13">
      <c r="B15" s="52" t="s">
        <v>41</v>
      </c>
      <c r="C15" s="53" t="s">
        <v>42</v>
      </c>
      <c r="D15" s="54"/>
      <c r="E15" s="54"/>
      <c r="F15" s="54"/>
      <c r="G15" s="54"/>
      <c r="H15" s="54"/>
      <c r="I15" s="54"/>
      <c r="J15" s="54"/>
      <c r="K15" s="54"/>
      <c r="L15" s="54"/>
      <c r="M15" s="55"/>
    </row>
    <row r="16" s="82" customFormat="1" customHeight="1" spans="2:13">
      <c r="B16" s="56"/>
      <c r="C16" s="57" t="s">
        <v>43</v>
      </c>
      <c r="D16" s="58"/>
      <c r="E16" s="58"/>
      <c r="F16" s="58"/>
      <c r="G16" s="58"/>
      <c r="H16" s="58"/>
      <c r="I16" s="58"/>
      <c r="J16" s="58"/>
      <c r="K16" s="58"/>
      <c r="L16" s="58"/>
      <c r="M16" s="59"/>
    </row>
    <row r="17" s="82" customFormat="1" customHeight="1" spans="2:13">
      <c r="B17" s="56"/>
      <c r="C17" s="57" t="s">
        <v>44</v>
      </c>
      <c r="D17" s="58"/>
      <c r="E17" s="58"/>
      <c r="F17" s="58"/>
      <c r="G17" s="58"/>
      <c r="H17" s="58"/>
      <c r="I17" s="58"/>
      <c r="J17" s="58"/>
      <c r="K17" s="58"/>
      <c r="L17" s="58"/>
      <c r="M17" s="59"/>
    </row>
    <row r="18" s="82" customFormat="1" customHeight="1" spans="2:13">
      <c r="B18" s="56"/>
      <c r="C18" s="57" t="s">
        <v>45</v>
      </c>
      <c r="D18" s="58"/>
      <c r="E18" s="58"/>
      <c r="F18" s="58"/>
      <c r="G18" s="58"/>
      <c r="H18" s="58"/>
      <c r="I18" s="58"/>
      <c r="J18" s="58"/>
      <c r="K18" s="58"/>
      <c r="L18" s="58"/>
      <c r="M18" s="59"/>
    </row>
    <row r="19" s="82" customFormat="1" ht="14.25" customHeight="1" spans="2:13">
      <c r="B19" s="56"/>
      <c r="C19" s="60" t="s">
        <v>46</v>
      </c>
      <c r="D19" s="61"/>
      <c r="E19" s="61"/>
      <c r="F19" s="61"/>
      <c r="G19" s="61"/>
      <c r="H19" s="61"/>
      <c r="I19" s="61"/>
      <c r="J19" s="61"/>
      <c r="K19" s="62"/>
      <c r="L19" s="62"/>
      <c r="M19" s="63"/>
    </row>
    <row r="20" s="82" customFormat="1" customHeight="1" spans="2:13">
      <c r="B20" s="56"/>
      <c r="C20" s="64" t="s">
        <v>47</v>
      </c>
      <c r="D20" s="65" t="str">
        <f>VLOOKUP(I8,'[1]7723合同'!$A:$C,3,0)</f>
        <v>XMBZ2024113</v>
      </c>
      <c r="E20" s="66" t="s">
        <v>48</v>
      </c>
      <c r="F20" s="67">
        <f>VLOOKUP(I8,'[1]7723合同'!$A:$D,4,0)</f>
        <v>45627</v>
      </c>
      <c r="G20" s="66"/>
      <c r="H20" s="66" t="s">
        <v>49</v>
      </c>
      <c r="I20" s="67">
        <f>VLOOKUP(I8,'[1]7723合同'!$A:$E,5,0)</f>
        <v>47088</v>
      </c>
      <c r="J20" s="68"/>
      <c r="K20" s="68"/>
      <c r="L20" s="68"/>
      <c r="M20" s="69"/>
    </row>
    <row r="21" s="82" customFormat="1" customHeight="1" spans="2:13">
      <c r="B21" s="70"/>
      <c r="C21" s="71"/>
      <c r="D21" s="72"/>
      <c r="E21" s="72"/>
      <c r="F21" s="72"/>
      <c r="G21" s="72"/>
      <c r="H21" s="72"/>
      <c r="I21" s="72"/>
      <c r="J21" s="72"/>
      <c r="K21" s="72"/>
      <c r="L21" s="72"/>
      <c r="M21" s="73"/>
    </row>
    <row r="22" s="82" customFormat="1" ht="17.25" spans="2:13">
      <c r="B22" s="74" t="s">
        <v>50</v>
      </c>
      <c r="C22" s="74"/>
      <c r="D22" s="74"/>
      <c r="E22" s="74"/>
      <c r="F22" s="74"/>
      <c r="G22" s="74"/>
      <c r="H22" s="75"/>
      <c r="I22" s="75"/>
      <c r="J22" s="76" t="s">
        <v>51</v>
      </c>
      <c r="K22" s="77"/>
      <c r="L22" s="77"/>
      <c r="M22" s="78"/>
    </row>
    <row r="23" s="82" customFormat="1" spans="2:13">
      <c r="B23" s="74" t="s">
        <v>52</v>
      </c>
      <c r="C23" s="75"/>
      <c r="D23" s="75"/>
      <c r="E23" s="75"/>
      <c r="F23" s="75"/>
      <c r="G23" s="75"/>
      <c r="H23" s="75"/>
      <c r="I23" s="75"/>
      <c r="J23" s="75" t="s">
        <v>52</v>
      </c>
      <c r="K23" s="75"/>
      <c r="L23" s="75"/>
      <c r="M23" s="78"/>
    </row>
    <row r="28" s="82" customFormat="1" spans="2:13">
      <c r="B28" s="81"/>
      <c r="C28" s="81"/>
      <c r="D28" s="81"/>
      <c r="E28" s="81"/>
      <c r="F28" s="81"/>
      <c r="G28" s="81"/>
      <c r="H28" s="81"/>
      <c r="I28" s="79"/>
      <c r="J28" s="82"/>
      <c r="K28" s="82"/>
      <c r="L28" s="82"/>
      <c r="M28" s="83"/>
    </row>
    <row r="29" s="82" customFormat="1" spans="2:13">
      <c r="I29" s="79"/>
      <c r="J29" s="82"/>
      <c r="K29" s="82"/>
      <c r="L29" s="82"/>
      <c r="M29" s="83"/>
    </row>
    <row r="31" s="82" customFormat="1" spans="2:13">
      <c r="B31" s="81"/>
      <c r="C31" s="81"/>
      <c r="D31" s="81"/>
      <c r="E31" s="81"/>
      <c r="F31" s="81"/>
      <c r="G31" s="81"/>
      <c r="H31" s="81"/>
      <c r="I31" s="79"/>
      <c r="J31" s="79"/>
      <c r="K31" s="79"/>
      <c r="L31" s="79"/>
      <c r="M31" s="83"/>
    </row>
    <row r="32" s="82" customFormat="1" spans="2:13">
      <c r="I32" s="79"/>
      <c r="J32" s="79"/>
      <c r="K32" s="79"/>
      <c r="L32" s="79"/>
      <c r="M32" s="83"/>
    </row>
  </sheetData>
  <mergeCells count="25">
    <mergeCell ref="B1:M1"/>
    <mergeCell ref="B7:E7"/>
    <mergeCell ref="H7:M7"/>
    <mergeCell ref="C8:E8"/>
    <mergeCell ref="I8:M8"/>
    <mergeCell ref="C9:E9"/>
    <mergeCell ref="I9:M9"/>
    <mergeCell ref="C10:E10"/>
    <mergeCell ref="I10:M10"/>
    <mergeCell ref="C11:E11"/>
    <mergeCell ref="I11:M11"/>
    <mergeCell ref="C12:E12"/>
    <mergeCell ref="I12:M12"/>
    <mergeCell ref="C13:E13"/>
    <mergeCell ref="I13:M13"/>
    <mergeCell ref="C14:E14"/>
    <mergeCell ref="C15:M15"/>
    <mergeCell ref="C16:M16"/>
    <mergeCell ref="C17:M17"/>
    <mergeCell ref="C18:M18"/>
    <mergeCell ref="C19:J19"/>
    <mergeCell ref="C21:M21"/>
    <mergeCell ref="B22:E22"/>
    <mergeCell ref="J22:M22"/>
    <mergeCell ref="B15:B21"/>
  </mergeCells>
  <conditionalFormatting sqref="B3">
    <cfRule type="cellIs" dxfId="0" priority="2" operator="equal">
      <formula>"神曲之符文英雄"</formula>
    </cfRule>
  </conditionalFormatting>
  <conditionalFormatting sqref="C3">
    <cfRule type="cellIs" dxfId="0" priority="38" operator="equal">
      <formula>"皇室战争"</formula>
    </cfRule>
    <cfRule type="cellIs" dxfId="1" priority="37" operator="equal">
      <formula>"EVA适格者"</formula>
    </cfRule>
    <cfRule type="cellIs" dxfId="1" priority="36" operator="equal">
      <formula>"家庭教师"</formula>
    </cfRule>
    <cfRule type="cellIs" dxfId="1" priority="35" operator="equal">
      <formula>"猎魔传说"</formula>
    </cfRule>
    <cfRule type="cellIs" dxfId="1" priority="34" operator="equal">
      <formula>"器灵"</formula>
    </cfRule>
    <cfRule type="cellIs" dxfId="2" priority="33" operator="equal">
      <formula>"兵界之王"</formula>
    </cfRule>
    <cfRule type="cellIs" dxfId="3" priority="32" operator="equal">
      <formula>"神曲之符文英雄"</formula>
    </cfRule>
    <cfRule type="cellIs" dxfId="3" priority="31" operator="equal">
      <formula>"兽血再燃"</formula>
    </cfRule>
    <cfRule type="cellIs" dxfId="4" priority="30" operator="equal">
      <formula>"大唐无双"</formula>
    </cfRule>
    <cfRule type="cellIs" dxfId="4" priority="29" operator="equal">
      <formula>"镇魔曲"</formula>
    </cfRule>
    <cfRule type="cellIs" dxfId="5" priority="28" operator="equal">
      <formula>"西游伏妖篇"</formula>
    </cfRule>
    <cfRule type="cellIs" dxfId="6" priority="27" operator="equal">
      <formula>"阴阳师"</formula>
    </cfRule>
    <cfRule type="cellIs" dxfId="7" priority="26" operator="equal">
      <formula>"无尽战区"</formula>
    </cfRule>
    <cfRule type="cellIs" dxfId="3" priority="25" operator="equal">
      <formula>"新世纪福音战士OL"</formula>
    </cfRule>
    <cfRule type="cellIs" dxfId="3" priority="24" operator="equal">
      <formula>"斗罗大陆2"</formula>
    </cfRule>
    <cfRule type="cellIs" dxfId="1" priority="23" operator="equal">
      <formula>"无敌大航海"</formula>
    </cfRule>
    <cfRule type="cellIs" dxfId="7" priority="22" operator="equal">
      <formula>"热血世界"</formula>
    </cfRule>
    <cfRule type="cellIs" dxfId="7" priority="21" operator="equal">
      <formula>"梦幻石器"</formula>
    </cfRule>
  </conditionalFormatting>
  <conditionalFormatting sqref="C4">
    <cfRule type="cellIs" dxfId="0" priority="20" operator="equal">
      <formula>"皇室战争"</formula>
    </cfRule>
    <cfRule type="cellIs" dxfId="1" priority="19" operator="equal">
      <formula>"EVA适格者"</formula>
    </cfRule>
    <cfRule type="cellIs" dxfId="1" priority="18" operator="equal">
      <formula>"家庭教师"</formula>
    </cfRule>
    <cfRule type="cellIs" dxfId="1" priority="17" operator="equal">
      <formula>"猎魔传说"</formula>
    </cfRule>
    <cfRule type="cellIs" dxfId="1" priority="16" operator="equal">
      <formula>"器灵"</formula>
    </cfRule>
    <cfRule type="cellIs" dxfId="2" priority="15" operator="equal">
      <formula>"兵界之王"</formula>
    </cfRule>
    <cfRule type="cellIs" dxfId="3" priority="14" operator="equal">
      <formula>"神曲之符文英雄"</formula>
    </cfRule>
    <cfRule type="cellIs" dxfId="3" priority="13" operator="equal">
      <formula>"兽血再燃"</formula>
    </cfRule>
    <cfRule type="cellIs" dxfId="4" priority="12" operator="equal">
      <formula>"大唐无双"</formula>
    </cfRule>
    <cfRule type="cellIs" dxfId="4" priority="11" operator="equal">
      <formula>"镇魔曲"</formula>
    </cfRule>
    <cfRule type="cellIs" dxfId="5" priority="10" operator="equal">
      <formula>"西游伏妖篇"</formula>
    </cfRule>
    <cfRule type="cellIs" dxfId="6" priority="9" operator="equal">
      <formula>"阴阳师"</formula>
    </cfRule>
    <cfRule type="cellIs" dxfId="7" priority="8" operator="equal">
      <formula>"无尽战区"</formula>
    </cfRule>
    <cfRule type="cellIs" dxfId="3" priority="7" operator="equal">
      <formula>"新世纪福音战士OL"</formula>
    </cfRule>
    <cfRule type="cellIs" dxfId="3" priority="6" operator="equal">
      <formula>"斗罗大陆2"</formula>
    </cfRule>
    <cfRule type="cellIs" dxfId="1" priority="5" operator="equal">
      <formula>"无敌大航海"</formula>
    </cfRule>
    <cfRule type="cellIs" dxfId="7" priority="4" operator="equal">
      <formula>"热血世界"</formula>
    </cfRule>
    <cfRule type="cellIs" dxfId="7" priority="3" operator="equal">
      <formula>"梦幻石器"</formula>
    </cfRule>
  </conditionalFormatting>
  <conditionalFormatting sqref="C5">
    <cfRule type="cellIs" dxfId="0" priority="56" operator="equal">
      <formula>"皇室战争"</formula>
    </cfRule>
    <cfRule type="cellIs" dxfId="1" priority="55" operator="equal">
      <formula>"EVA适格者"</formula>
    </cfRule>
    <cfRule type="cellIs" dxfId="1" priority="54" operator="equal">
      <formula>"家庭教师"</formula>
    </cfRule>
    <cfRule type="cellIs" dxfId="1" priority="53" operator="equal">
      <formula>"猎魔传说"</formula>
    </cfRule>
    <cfRule type="cellIs" dxfId="1" priority="52" operator="equal">
      <formula>"器灵"</formula>
    </cfRule>
    <cfRule type="cellIs" dxfId="2" priority="51" operator="equal">
      <formula>"兵界之王"</formula>
    </cfRule>
    <cfRule type="cellIs" dxfId="3" priority="50" operator="equal">
      <formula>"神曲之符文英雄"</formula>
    </cfRule>
    <cfRule type="cellIs" dxfId="3" priority="49" operator="equal">
      <formula>"兽血再燃"</formula>
    </cfRule>
    <cfRule type="cellIs" dxfId="4" priority="48" operator="equal">
      <formula>"大唐无双"</formula>
    </cfRule>
    <cfRule type="cellIs" dxfId="4" priority="47" operator="equal">
      <formula>"镇魔曲"</formula>
    </cfRule>
    <cfRule type="cellIs" dxfId="5" priority="46" operator="equal">
      <formula>"西游伏妖篇"</formula>
    </cfRule>
    <cfRule type="cellIs" dxfId="6" priority="45" operator="equal">
      <formula>"阴阳师"</formula>
    </cfRule>
    <cfRule type="cellIs" dxfId="7" priority="44" operator="equal">
      <formula>"无尽战区"</formula>
    </cfRule>
    <cfRule type="cellIs" dxfId="3" priority="43" operator="equal">
      <formula>"新世纪福音战士OL"</formula>
    </cfRule>
    <cfRule type="cellIs" dxfId="3" priority="42" operator="equal">
      <formula>"斗罗大陆2"</formula>
    </cfRule>
    <cfRule type="cellIs" dxfId="1" priority="41" operator="equal">
      <formula>"无敌大航海"</formula>
    </cfRule>
    <cfRule type="cellIs" dxfId="7" priority="40" operator="equal">
      <formula>"热血世界"</formula>
    </cfRule>
    <cfRule type="cellIs" dxfId="7" priority="39" operator="equal">
      <formula>"梦幻石器"</formula>
    </cfRule>
  </conditionalFormatting>
  <conditionalFormatting sqref="B4:B5">
    <cfRule type="cellIs" dxfId="0" priority="1" operator="equal">
      <formula>"神曲之符文英雄"</formula>
    </cfRule>
  </conditionalFormatting>
  <conditionalFormatting sqref="D3:D5">
    <cfRule type="cellIs" dxfId="0" priority="76" operator="equal">
      <formula>"皇室战争"</formula>
    </cfRule>
    <cfRule type="cellIs" dxfId="8" priority="75" operator="equal">
      <formula>"EVA适格者"</formula>
    </cfRule>
    <cfRule type="cellIs" dxfId="8" priority="74" operator="equal">
      <formula>"家庭教师"</formula>
    </cfRule>
    <cfRule type="cellIs" dxfId="8" priority="73" operator="equal">
      <formula>"猎魔传说"</formula>
    </cfRule>
    <cfRule type="cellIs" dxfId="8" priority="72" operator="equal">
      <formula>"器灵"</formula>
    </cfRule>
    <cfRule type="cellIs" dxfId="9" priority="71" operator="equal">
      <formula>"兵界之王"</formula>
    </cfRule>
    <cfRule type="cellIs" dxfId="3" priority="70" operator="equal">
      <formula>"神曲之符文英雄"</formula>
    </cfRule>
    <cfRule type="cellIs" dxfId="3" priority="69" operator="equal">
      <formula>"兽血再燃"</formula>
    </cfRule>
    <cfRule type="cellIs" dxfId="4" priority="68" operator="equal">
      <formula>"大唐无双"</formula>
    </cfRule>
    <cfRule type="cellIs" dxfId="4" priority="67" operator="equal">
      <formula>"镇魔曲"</formula>
    </cfRule>
    <cfRule type="cellIs" dxfId="5" priority="66" operator="equal">
      <formula>"西游伏妖篇"</formula>
    </cfRule>
    <cfRule type="cellIs" dxfId="10" priority="65" operator="equal">
      <formula>"阴阳师"</formula>
    </cfRule>
    <cfRule type="cellIs" dxfId="11" priority="64" operator="equal">
      <formula>"无尽战区"</formula>
    </cfRule>
    <cfRule type="cellIs" dxfId="3" priority="63" operator="equal">
      <formula>"新世纪福音战士OL"</formula>
    </cfRule>
    <cfRule type="cellIs" dxfId="3" priority="62" operator="equal">
      <formula>"斗罗大陆2"</formula>
    </cfRule>
    <cfRule type="cellIs" dxfId="8" priority="61" operator="equal">
      <formula>"无敌大航海"</formula>
    </cfRule>
    <cfRule type="cellIs" dxfId="11" priority="60" operator="equal">
      <formula>"热血世界"</formula>
    </cfRule>
    <cfRule type="cellIs" dxfId="11" priority="59" operator="equal">
      <formula>"梦幻石器"</formula>
    </cfRule>
  </conditionalFormatting>
  <conditionalFormatting sqref="E3:E5">
    <cfRule type="cellIs" dxfId="0" priority="77" operator="equal">
      <formula>"神曲之符文英雄"</formula>
    </cfRule>
  </conditionalFormatting>
  <conditionalFormatting sqref="F3:F5">
    <cfRule type="cellIs" dxfId="0" priority="58" operator="equal">
      <formula>"神曲之符文英雄"</formula>
    </cfRule>
  </conditionalFormatting>
  <conditionalFormatting sqref="G3:G5">
    <cfRule type="cellIs" dxfId="0" priority="57" operator="equal">
      <formula>"神曲之符文英雄"</formula>
    </cfRule>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tabSelected="1" zoomScale="145" zoomScaleNormal="145" workbookViewId="0">
      <selection activeCell="A1" sqref="A1:L1"/>
    </sheetView>
  </sheetViews>
  <sheetFormatPr defaultColWidth="9" defaultRowHeight="13.5"/>
  <cols>
    <col min="1" max="1" width="17.125" customWidth="1"/>
    <col min="2" max="2" width="12.375" customWidth="1"/>
    <col min="3" max="3" width="21.375" customWidth="1"/>
    <col min="4" max="4" width="16" customWidth="1"/>
    <col min="5" max="5" width="9.875" customWidth="1"/>
    <col min="6" max="6" width="13.875" customWidth="1"/>
    <col min="7" max="7" width="12.875" customWidth="1"/>
    <col min="8" max="8" width="9.875" customWidth="1"/>
    <col min="9" max="9" width="10.875" customWidth="1"/>
    <col min="10" max="10" width="13.5" customWidth="1"/>
    <col min="11" max="11" width="5.625" customWidth="1"/>
    <col min="12" max="12" width="7" customWidth="1"/>
  </cols>
  <sheetData>
    <row r="1" ht="30" spans="1:12">
      <c r="A1" s="1" t="s">
        <v>0</v>
      </c>
      <c r="B1" s="1"/>
      <c r="C1" s="1"/>
      <c r="D1" s="1"/>
      <c r="E1" s="1"/>
      <c r="F1" s="1"/>
      <c r="G1" s="1"/>
      <c r="H1" s="1"/>
      <c r="I1" s="1"/>
      <c r="J1" s="1"/>
      <c r="K1" s="1"/>
      <c r="L1" s="2"/>
    </row>
    <row r="2" ht="18.75" spans="1:12">
      <c r="A2" s="3" t="s">
        <v>1</v>
      </c>
      <c r="B2" s="4" t="s">
        <v>2</v>
      </c>
      <c r="C2" s="4" t="s">
        <v>3</v>
      </c>
      <c r="D2" s="4" t="s">
        <v>4</v>
      </c>
      <c r="E2" s="4" t="s">
        <v>5</v>
      </c>
      <c r="F2" s="4" t="s">
        <v>6</v>
      </c>
      <c r="G2" s="4" t="s">
        <v>7</v>
      </c>
      <c r="H2" s="4" t="s">
        <v>8</v>
      </c>
      <c r="I2" s="4" t="s">
        <v>9</v>
      </c>
      <c r="J2" s="4" t="s">
        <v>10</v>
      </c>
      <c r="K2" s="4" t="s">
        <v>11</v>
      </c>
      <c r="L2" s="5" t="s">
        <v>12</v>
      </c>
    </row>
    <row r="3" ht="17.25" spans="1:12">
      <c r="A3" s="6" t="s">
        <v>13</v>
      </c>
      <c r="B3" s="7" t="s">
        <v>14</v>
      </c>
      <c r="C3" s="8" t="s">
        <v>15</v>
      </c>
      <c r="D3" s="9">
        <v>960506</v>
      </c>
      <c r="E3" s="9"/>
      <c r="F3" s="10">
        <v>52488</v>
      </c>
      <c r="G3" s="11">
        <v>0.05</v>
      </c>
      <c r="H3" s="11">
        <v>0</v>
      </c>
      <c r="I3" s="11">
        <v>0.3</v>
      </c>
      <c r="J3" s="12">
        <f>IF(L3&gt;0,ROUND(((D3-F3)*L3-E3-K3)*(1-G3)*I3*(1-H3),2),ROUND((D3-E3-K3-F3)*(1-G3)*I3*(1-H3),2))</f>
        <v>1293.93</v>
      </c>
      <c r="K3" s="13"/>
      <c r="L3" s="14">
        <v>0.005</v>
      </c>
    </row>
    <row r="4" ht="17.25" spans="1:12">
      <c r="A4" s="6" t="s">
        <v>13</v>
      </c>
      <c r="B4" s="7" t="s">
        <v>14</v>
      </c>
      <c r="C4" s="8" t="s">
        <v>16</v>
      </c>
      <c r="D4" s="9">
        <v>256282</v>
      </c>
      <c r="E4" s="9">
        <v>0</v>
      </c>
      <c r="F4" s="10">
        <v>44712</v>
      </c>
      <c r="G4" s="11">
        <v>0.05</v>
      </c>
      <c r="H4" s="11">
        <v>0</v>
      </c>
      <c r="I4" s="11">
        <v>0.3</v>
      </c>
      <c r="J4" s="12">
        <f>IF(L4&gt;0,ROUND(((D4-F4)*L4-E4-K4)*(1-G4)*I4*(1-H4),2),ROUND((D4-E4-K4-F4)*(1-G4)*I4*(1-H4),2))</f>
        <v>301.49</v>
      </c>
      <c r="K4" s="13"/>
      <c r="L4" s="14">
        <v>0.005</v>
      </c>
    </row>
    <row r="5" ht="17.25" spans="1:12">
      <c r="A5" s="6" t="s">
        <v>13</v>
      </c>
      <c r="B5" s="7" t="s">
        <v>14</v>
      </c>
      <c r="C5" s="8" t="s">
        <v>17</v>
      </c>
      <c r="D5" s="9">
        <v>48600</v>
      </c>
      <c r="E5" s="9">
        <v>0</v>
      </c>
      <c r="F5" s="10">
        <v>7128</v>
      </c>
      <c r="G5" s="11">
        <v>0.05</v>
      </c>
      <c r="H5" s="11">
        <v>0</v>
      </c>
      <c r="I5" s="11">
        <v>0.3</v>
      </c>
      <c r="J5" s="12">
        <f>IF(L5&gt;0,ROUND(((D5-F5)*L5-E5-K5)*(1-G5)*I5*(1-H5),2),ROUND((D5-E5-K5-F5)*(1-G5)*I5*(1-H5),2))</f>
        <v>59.1</v>
      </c>
      <c r="K5" s="13"/>
      <c r="L5" s="14">
        <v>0.005</v>
      </c>
    </row>
    <row r="6" ht="18" spans="1:12">
      <c r="A6" s="15" t="s">
        <v>18</v>
      </c>
      <c r="B6" s="16"/>
      <c r="C6" s="16"/>
      <c r="D6" s="17">
        <f t="shared" ref="D6:F6" si="0">SUM(D3:D5)</f>
        <v>1265388</v>
      </c>
      <c r="E6" s="17">
        <f t="shared" si="0"/>
        <v>0</v>
      </c>
      <c r="F6" s="17">
        <f t="shared" si="0"/>
        <v>104328</v>
      </c>
      <c r="G6" s="17"/>
      <c r="H6" s="17"/>
      <c r="I6" s="17"/>
      <c r="J6" s="17">
        <f>SUM(J3:J5)</f>
        <v>1654.52</v>
      </c>
      <c r="K6" s="18"/>
      <c r="L6" s="19"/>
    </row>
    <row r="7" ht="18" spans="1:12">
      <c r="A7" s="20" t="s">
        <v>19</v>
      </c>
      <c r="B7" s="21"/>
      <c r="C7" s="21"/>
      <c r="D7" s="22"/>
      <c r="E7" s="23"/>
      <c r="F7" s="23"/>
      <c r="G7" s="24" t="s">
        <v>20</v>
      </c>
      <c r="H7" s="24"/>
      <c r="I7" s="25"/>
      <c r="J7" s="25"/>
      <c r="K7" s="26"/>
      <c r="L7" s="27"/>
    </row>
    <row r="8" ht="16.5" spans="1:12">
      <c r="A8" s="28" t="s">
        <v>21</v>
      </c>
      <c r="B8" s="29" t="s">
        <v>22</v>
      </c>
      <c r="C8" s="30"/>
      <c r="D8" s="31"/>
      <c r="E8" s="30"/>
      <c r="F8" s="30"/>
      <c r="G8" s="32" t="s">
        <v>23</v>
      </c>
      <c r="H8" s="33" t="s">
        <v>24</v>
      </c>
      <c r="I8" s="34"/>
      <c r="J8" s="34"/>
      <c r="K8" s="34"/>
      <c r="L8" s="35"/>
    </row>
    <row r="9" ht="16.5" spans="1:12">
      <c r="A9" s="28" t="s">
        <v>25</v>
      </c>
      <c r="B9" s="36" t="s">
        <v>26</v>
      </c>
      <c r="C9" s="36"/>
      <c r="D9" s="37"/>
      <c r="E9" s="34"/>
      <c r="F9" s="34"/>
      <c r="G9" s="32" t="s">
        <v>27</v>
      </c>
      <c r="H9" s="33" t="s">
        <v>28</v>
      </c>
      <c r="I9" s="34"/>
      <c r="J9" s="34"/>
      <c r="K9" s="34"/>
      <c r="L9" s="35"/>
    </row>
    <row r="10" ht="16.5" spans="1:12">
      <c r="A10" s="28" t="s">
        <v>29</v>
      </c>
      <c r="B10" s="36" t="s">
        <v>30</v>
      </c>
      <c r="C10" s="36"/>
      <c r="D10" s="37"/>
      <c r="E10" s="34"/>
      <c r="F10" s="34"/>
      <c r="G10" s="32" t="s">
        <v>31</v>
      </c>
      <c r="H10" s="38" t="s">
        <v>32</v>
      </c>
      <c r="I10" s="39"/>
      <c r="J10" s="39"/>
      <c r="K10" s="39"/>
      <c r="L10" s="35"/>
    </row>
    <row r="11" ht="16.5" spans="1:12">
      <c r="A11" s="28" t="s">
        <v>33</v>
      </c>
      <c r="B11" s="40" t="s">
        <v>34</v>
      </c>
      <c r="C11" s="40"/>
      <c r="D11" s="41"/>
      <c r="E11" s="34"/>
      <c r="F11" s="34"/>
      <c r="G11" s="42"/>
      <c r="H11" s="39"/>
      <c r="I11" s="39"/>
      <c r="J11" s="39"/>
      <c r="K11" s="39"/>
      <c r="L11" s="35"/>
    </row>
    <row r="12" ht="16.5" spans="1:12">
      <c r="A12" s="28" t="s">
        <v>35</v>
      </c>
      <c r="B12" s="36" t="s">
        <v>36</v>
      </c>
      <c r="C12" s="36"/>
      <c r="D12" s="37"/>
      <c r="E12" s="34"/>
      <c r="F12" s="34"/>
      <c r="G12" s="42"/>
      <c r="H12" s="39"/>
      <c r="I12" s="39"/>
      <c r="J12" s="39"/>
      <c r="K12" s="39"/>
      <c r="L12" s="35"/>
    </row>
    <row r="13" ht="16.5" spans="1:12">
      <c r="A13" s="28" t="s">
        <v>37</v>
      </c>
      <c r="B13" s="43" t="s">
        <v>38</v>
      </c>
      <c r="C13" s="43"/>
      <c r="D13" s="44"/>
      <c r="E13" s="39"/>
      <c r="F13" s="39"/>
      <c r="G13" s="42"/>
      <c r="H13" s="39"/>
      <c r="I13" s="39"/>
      <c r="J13" s="39"/>
      <c r="K13" s="39"/>
      <c r="L13" s="35"/>
    </row>
    <row r="14" ht="16.5" spans="1:12">
      <c r="A14" s="45" t="s">
        <v>39</v>
      </c>
      <c r="B14" s="46" t="s">
        <v>40</v>
      </c>
      <c r="C14" s="46"/>
      <c r="D14" s="47"/>
      <c r="E14" s="48"/>
      <c r="F14" s="48"/>
      <c r="G14" s="49"/>
      <c r="H14" s="50"/>
      <c r="I14" s="50"/>
      <c r="J14" s="50"/>
      <c r="K14" s="50"/>
      <c r="L14" s="51"/>
    </row>
    <row r="15" ht="16.5" spans="1:12">
      <c r="A15" s="52" t="s">
        <v>41</v>
      </c>
      <c r="B15" s="53" t="s">
        <v>42</v>
      </c>
      <c r="C15" s="54"/>
      <c r="D15" s="54"/>
      <c r="E15" s="54"/>
      <c r="F15" s="54"/>
      <c r="G15" s="54"/>
      <c r="H15" s="54"/>
      <c r="I15" s="54"/>
      <c r="J15" s="54"/>
      <c r="K15" s="54"/>
      <c r="L15" s="55"/>
    </row>
    <row r="16" ht="16.5" spans="1:12">
      <c r="A16" s="56"/>
      <c r="B16" s="57" t="s">
        <v>43</v>
      </c>
      <c r="C16" s="58"/>
      <c r="D16" s="58"/>
      <c r="E16" s="58"/>
      <c r="F16" s="58"/>
      <c r="G16" s="58"/>
      <c r="H16" s="58"/>
      <c r="I16" s="58"/>
      <c r="J16" s="58"/>
      <c r="K16" s="58"/>
      <c r="L16" s="59"/>
    </row>
    <row r="17" ht="16.5" spans="1:12">
      <c r="A17" s="56"/>
      <c r="B17" s="57" t="s">
        <v>44</v>
      </c>
      <c r="C17" s="58"/>
      <c r="D17" s="58"/>
      <c r="E17" s="58"/>
      <c r="F17" s="58"/>
      <c r="G17" s="58"/>
      <c r="H17" s="58"/>
      <c r="I17" s="58"/>
      <c r="J17" s="58"/>
      <c r="K17" s="58"/>
      <c r="L17" s="59"/>
    </row>
    <row r="18" ht="16.5" spans="1:12">
      <c r="A18" s="56"/>
      <c r="B18" s="57" t="s">
        <v>45</v>
      </c>
      <c r="C18" s="58"/>
      <c r="D18" s="58"/>
      <c r="E18" s="58"/>
      <c r="F18" s="58"/>
      <c r="G18" s="58"/>
      <c r="H18" s="58"/>
      <c r="I18" s="58"/>
      <c r="J18" s="58"/>
      <c r="K18" s="58"/>
      <c r="L18" s="59"/>
    </row>
    <row r="19" ht="16.5" spans="1:12">
      <c r="A19" s="56"/>
      <c r="B19" s="60" t="s">
        <v>46</v>
      </c>
      <c r="C19" s="61"/>
      <c r="D19" s="61"/>
      <c r="E19" s="61"/>
      <c r="F19" s="61"/>
      <c r="G19" s="61"/>
      <c r="H19" s="61"/>
      <c r="I19" s="61"/>
      <c r="J19" s="62"/>
      <c r="K19" s="62"/>
      <c r="L19" s="63"/>
    </row>
    <row r="20" ht="16.5" spans="1:12">
      <c r="A20" s="56"/>
      <c r="B20" s="64" t="s">
        <v>47</v>
      </c>
      <c r="C20" s="65" t="str">
        <f>VLOOKUP(H8,'[1]7723合同'!$A:$C,3,0)</f>
        <v>XMBZ2024113</v>
      </c>
      <c r="D20" s="66" t="s">
        <v>48</v>
      </c>
      <c r="E20" s="67">
        <f>VLOOKUP(H8,'[1]7723合同'!$A:$D,4,0)</f>
        <v>45627</v>
      </c>
      <c r="F20" s="66"/>
      <c r="G20" s="66" t="s">
        <v>49</v>
      </c>
      <c r="H20" s="67">
        <f>VLOOKUP(H8,'[1]7723合同'!$A:$E,5,0)</f>
        <v>47088</v>
      </c>
      <c r="I20" s="68"/>
      <c r="J20" s="68"/>
      <c r="K20" s="68"/>
      <c r="L20" s="69"/>
    </row>
    <row r="21" ht="17.25" spans="1:12">
      <c r="A21" s="70"/>
      <c r="B21" s="71"/>
      <c r="C21" s="72"/>
      <c r="D21" s="72"/>
      <c r="E21" s="72"/>
      <c r="F21" s="72"/>
      <c r="G21" s="72"/>
      <c r="H21" s="72"/>
      <c r="I21" s="72"/>
      <c r="J21" s="72"/>
      <c r="K21" s="72"/>
      <c r="L21" s="73"/>
    </row>
    <row r="22" ht="17.25" spans="1:12">
      <c r="A22" s="74" t="s">
        <v>50</v>
      </c>
      <c r="B22" s="74"/>
      <c r="C22" s="74"/>
      <c r="D22" s="74"/>
      <c r="E22" s="74"/>
      <c r="F22" s="74"/>
      <c r="G22" s="75"/>
      <c r="H22" s="75"/>
      <c r="I22" s="76" t="s">
        <v>51</v>
      </c>
      <c r="J22" s="77"/>
      <c r="K22" s="77"/>
      <c r="L22" s="78"/>
    </row>
    <row r="23" ht="16.5" spans="1:12">
      <c r="A23" s="74" t="s">
        <v>52</v>
      </c>
      <c r="B23" s="75"/>
      <c r="C23" s="75"/>
      <c r="D23" s="75"/>
      <c r="E23" s="75"/>
      <c r="F23" s="75"/>
      <c r="G23" s="75"/>
      <c r="H23" s="75"/>
      <c r="I23" s="75" t="s">
        <v>52</v>
      </c>
      <c r="J23" s="75"/>
      <c r="K23" s="75"/>
      <c r="L23" s="78"/>
    </row>
    <row r="24" ht="16.5" spans="1:12">
      <c r="A24" s="79"/>
      <c r="B24" s="79"/>
      <c r="C24" s="79"/>
      <c r="D24" s="79"/>
      <c r="E24" s="79"/>
      <c r="F24" s="79"/>
      <c r="G24" s="79"/>
      <c r="H24" s="79"/>
      <c r="I24" s="79"/>
      <c r="J24" s="79"/>
      <c r="K24" s="79"/>
      <c r="L24" s="80"/>
    </row>
    <row r="25" ht="16.5" spans="1:12">
      <c r="A25" s="79"/>
      <c r="B25" s="79"/>
      <c r="C25" s="79"/>
      <c r="D25" s="79"/>
      <c r="E25" s="79"/>
      <c r="F25" s="79"/>
      <c r="G25" s="79"/>
      <c r="H25" s="79"/>
      <c r="I25" s="79"/>
      <c r="J25" s="79"/>
      <c r="K25" s="79"/>
      <c r="L25" s="80"/>
    </row>
    <row r="26" ht="16.5" spans="1:12">
      <c r="A26" s="79"/>
      <c r="B26" s="79"/>
      <c r="C26" s="79"/>
      <c r="D26" s="79"/>
      <c r="E26" s="79"/>
      <c r="F26" s="79"/>
      <c r="G26" s="79"/>
      <c r="H26" s="79"/>
      <c r="I26" s="79"/>
      <c r="J26" s="79"/>
      <c r="K26" s="79"/>
      <c r="L26" s="80"/>
    </row>
    <row r="27" ht="16.5" spans="1:12">
      <c r="A27" s="79"/>
      <c r="B27" s="79"/>
      <c r="C27" s="79"/>
      <c r="D27" s="79"/>
      <c r="E27" s="79"/>
      <c r="F27" s="79"/>
      <c r="G27" s="79"/>
      <c r="H27" s="79"/>
      <c r="I27" s="79"/>
      <c r="J27" s="79"/>
      <c r="K27" s="79"/>
      <c r="L27" s="80"/>
    </row>
    <row r="28" ht="16.5" spans="1:12">
      <c r="A28" s="81"/>
      <c r="B28" s="81"/>
      <c r="C28" s="81"/>
      <c r="D28" s="81"/>
      <c r="E28" s="81"/>
      <c r="F28" s="81"/>
      <c r="G28" s="81"/>
      <c r="H28" s="79"/>
      <c r="I28" s="82"/>
      <c r="J28" s="82"/>
      <c r="K28" s="82"/>
      <c r="L28" s="83"/>
    </row>
    <row r="29" ht="16.5" spans="1:12">
      <c r="A29" s="82"/>
      <c r="B29" s="82"/>
      <c r="C29" s="82"/>
      <c r="D29" s="82"/>
      <c r="E29" s="82"/>
      <c r="F29" s="82"/>
      <c r="G29" s="82"/>
      <c r="H29" s="79"/>
      <c r="I29" s="82"/>
      <c r="J29" s="82"/>
      <c r="K29" s="82"/>
      <c r="L29" s="83"/>
    </row>
  </sheetData>
  <mergeCells count="25">
    <mergeCell ref="A1:L1"/>
    <mergeCell ref="A7:D7"/>
    <mergeCell ref="G7:L7"/>
    <mergeCell ref="B8:D8"/>
    <mergeCell ref="H8:L8"/>
    <mergeCell ref="B9:D9"/>
    <mergeCell ref="H9:L9"/>
    <mergeCell ref="B10:D10"/>
    <mergeCell ref="H10:L10"/>
    <mergeCell ref="B11:D11"/>
    <mergeCell ref="H11:L11"/>
    <mergeCell ref="B12:D12"/>
    <mergeCell ref="H12:L12"/>
    <mergeCell ref="B13:D13"/>
    <mergeCell ref="H13:L13"/>
    <mergeCell ref="B14:D14"/>
    <mergeCell ref="B15:L15"/>
    <mergeCell ref="B16:L16"/>
    <mergeCell ref="B17:L17"/>
    <mergeCell ref="B18:L18"/>
    <mergeCell ref="B19:I19"/>
    <mergeCell ref="B21:L21"/>
    <mergeCell ref="A22:D22"/>
    <mergeCell ref="I22:L22"/>
    <mergeCell ref="A15:A21"/>
  </mergeCells>
  <conditionalFormatting sqref="A3">
    <cfRule type="cellIs" dxfId="0" priority="2" operator="equal">
      <formula>"神曲之符文英雄"</formula>
    </cfRule>
  </conditionalFormatting>
  <conditionalFormatting sqref="B3">
    <cfRule type="cellIs" dxfId="0" priority="38" operator="equal">
      <formula>"皇室战争"</formula>
    </cfRule>
    <cfRule type="cellIs" dxfId="1" priority="37" operator="equal">
      <formula>"EVA适格者"</formula>
    </cfRule>
    <cfRule type="cellIs" dxfId="1" priority="36" operator="equal">
      <formula>"家庭教师"</formula>
    </cfRule>
    <cfRule type="cellIs" dxfId="1" priority="35" operator="equal">
      <formula>"猎魔传说"</formula>
    </cfRule>
    <cfRule type="cellIs" dxfId="1" priority="34" operator="equal">
      <formula>"器灵"</formula>
    </cfRule>
    <cfRule type="cellIs" dxfId="2" priority="33" operator="equal">
      <formula>"兵界之王"</formula>
    </cfRule>
    <cfRule type="cellIs" dxfId="3" priority="32" operator="equal">
      <formula>"神曲之符文英雄"</formula>
    </cfRule>
    <cfRule type="cellIs" dxfId="3" priority="31" operator="equal">
      <formula>"兽血再燃"</formula>
    </cfRule>
    <cfRule type="cellIs" dxfId="4" priority="30" operator="equal">
      <formula>"大唐无双"</formula>
    </cfRule>
    <cfRule type="cellIs" dxfId="4" priority="29" operator="equal">
      <formula>"镇魔曲"</formula>
    </cfRule>
    <cfRule type="cellIs" dxfId="5" priority="28" operator="equal">
      <formula>"西游伏妖篇"</formula>
    </cfRule>
    <cfRule type="cellIs" dxfId="6" priority="27" operator="equal">
      <formula>"阴阳师"</formula>
    </cfRule>
    <cfRule type="cellIs" dxfId="7" priority="26" operator="equal">
      <formula>"无尽战区"</formula>
    </cfRule>
    <cfRule type="cellIs" dxfId="3" priority="25" operator="equal">
      <formula>"新世纪福音战士OL"</formula>
    </cfRule>
    <cfRule type="cellIs" dxfId="3" priority="24" operator="equal">
      <formula>"斗罗大陆2"</formula>
    </cfRule>
    <cfRule type="cellIs" dxfId="1" priority="23" operator="equal">
      <formula>"无敌大航海"</formula>
    </cfRule>
    <cfRule type="cellIs" dxfId="7" priority="22" operator="equal">
      <formula>"热血世界"</formula>
    </cfRule>
    <cfRule type="cellIs" dxfId="7" priority="21" operator="equal">
      <formula>"梦幻石器"</formula>
    </cfRule>
  </conditionalFormatting>
  <conditionalFormatting sqref="B4">
    <cfRule type="cellIs" dxfId="0" priority="20" operator="equal">
      <formula>"皇室战争"</formula>
    </cfRule>
    <cfRule type="cellIs" dxfId="1" priority="19" operator="equal">
      <formula>"EVA适格者"</formula>
    </cfRule>
    <cfRule type="cellIs" dxfId="1" priority="18" operator="equal">
      <formula>"家庭教师"</formula>
    </cfRule>
    <cfRule type="cellIs" dxfId="1" priority="17" operator="equal">
      <formula>"猎魔传说"</formula>
    </cfRule>
    <cfRule type="cellIs" dxfId="1" priority="16" operator="equal">
      <formula>"器灵"</formula>
    </cfRule>
    <cfRule type="cellIs" dxfId="2" priority="15" operator="equal">
      <formula>"兵界之王"</formula>
    </cfRule>
    <cfRule type="cellIs" dxfId="3" priority="14" operator="equal">
      <formula>"神曲之符文英雄"</formula>
    </cfRule>
    <cfRule type="cellIs" dxfId="3" priority="13" operator="equal">
      <formula>"兽血再燃"</formula>
    </cfRule>
    <cfRule type="cellIs" dxfId="4" priority="12" operator="equal">
      <formula>"大唐无双"</formula>
    </cfRule>
    <cfRule type="cellIs" dxfId="4" priority="11" operator="equal">
      <formula>"镇魔曲"</formula>
    </cfRule>
    <cfRule type="cellIs" dxfId="5" priority="10" operator="equal">
      <formula>"西游伏妖篇"</formula>
    </cfRule>
    <cfRule type="cellIs" dxfId="6" priority="9" operator="equal">
      <formula>"阴阳师"</formula>
    </cfRule>
    <cfRule type="cellIs" dxfId="7" priority="8" operator="equal">
      <formula>"无尽战区"</formula>
    </cfRule>
    <cfRule type="cellIs" dxfId="3" priority="7" operator="equal">
      <formula>"新世纪福音战士OL"</formula>
    </cfRule>
    <cfRule type="cellIs" dxfId="3" priority="6" operator="equal">
      <formula>"斗罗大陆2"</formula>
    </cfRule>
    <cfRule type="cellIs" dxfId="1" priority="5" operator="equal">
      <formula>"无敌大航海"</formula>
    </cfRule>
    <cfRule type="cellIs" dxfId="7" priority="4" operator="equal">
      <formula>"热血世界"</formula>
    </cfRule>
    <cfRule type="cellIs" dxfId="7" priority="3" operator="equal">
      <formula>"梦幻石器"</formula>
    </cfRule>
  </conditionalFormatting>
  <conditionalFormatting sqref="B5">
    <cfRule type="cellIs" dxfId="0" priority="56" operator="equal">
      <formula>"皇室战争"</formula>
    </cfRule>
    <cfRule type="cellIs" dxfId="1" priority="55" operator="equal">
      <formula>"EVA适格者"</formula>
    </cfRule>
    <cfRule type="cellIs" dxfId="1" priority="54" operator="equal">
      <formula>"家庭教师"</formula>
    </cfRule>
    <cfRule type="cellIs" dxfId="1" priority="53" operator="equal">
      <formula>"猎魔传说"</formula>
    </cfRule>
    <cfRule type="cellIs" dxfId="1" priority="52" operator="equal">
      <formula>"器灵"</formula>
    </cfRule>
    <cfRule type="cellIs" dxfId="2" priority="51" operator="equal">
      <formula>"兵界之王"</formula>
    </cfRule>
    <cfRule type="cellIs" dxfId="3" priority="50" operator="equal">
      <formula>"神曲之符文英雄"</formula>
    </cfRule>
    <cfRule type="cellIs" dxfId="3" priority="49" operator="equal">
      <formula>"兽血再燃"</formula>
    </cfRule>
    <cfRule type="cellIs" dxfId="4" priority="48" operator="equal">
      <formula>"大唐无双"</formula>
    </cfRule>
    <cfRule type="cellIs" dxfId="4" priority="47" operator="equal">
      <formula>"镇魔曲"</formula>
    </cfRule>
    <cfRule type="cellIs" dxfId="5" priority="46" operator="equal">
      <formula>"西游伏妖篇"</formula>
    </cfRule>
    <cfRule type="cellIs" dxfId="6" priority="45" operator="equal">
      <formula>"阴阳师"</formula>
    </cfRule>
    <cfRule type="cellIs" dxfId="7" priority="44" operator="equal">
      <formula>"无尽战区"</formula>
    </cfRule>
    <cfRule type="cellIs" dxfId="3" priority="43" operator="equal">
      <formula>"新世纪福音战士OL"</formula>
    </cfRule>
    <cfRule type="cellIs" dxfId="3" priority="42" operator="equal">
      <formula>"斗罗大陆2"</formula>
    </cfRule>
    <cfRule type="cellIs" dxfId="1" priority="41" operator="equal">
      <formula>"无敌大航海"</formula>
    </cfRule>
    <cfRule type="cellIs" dxfId="7" priority="40" operator="equal">
      <formula>"热血世界"</formula>
    </cfRule>
    <cfRule type="cellIs" dxfId="7" priority="39" operator="equal">
      <formula>"梦幻石器"</formula>
    </cfRule>
  </conditionalFormatting>
  <conditionalFormatting sqref="A4:A5">
    <cfRule type="cellIs" dxfId="0" priority="1" operator="equal">
      <formula>"神曲之符文英雄"</formula>
    </cfRule>
  </conditionalFormatting>
  <conditionalFormatting sqref="C3:C5">
    <cfRule type="cellIs" dxfId="0" priority="76" operator="equal">
      <formula>"皇室战争"</formula>
    </cfRule>
    <cfRule type="cellIs" dxfId="8" priority="75" operator="equal">
      <formula>"EVA适格者"</formula>
    </cfRule>
    <cfRule type="cellIs" dxfId="8" priority="74" operator="equal">
      <formula>"家庭教师"</formula>
    </cfRule>
    <cfRule type="cellIs" dxfId="8" priority="73" operator="equal">
      <formula>"猎魔传说"</formula>
    </cfRule>
    <cfRule type="cellIs" dxfId="8" priority="72" operator="equal">
      <formula>"器灵"</formula>
    </cfRule>
    <cfRule type="cellIs" dxfId="9" priority="71" operator="equal">
      <formula>"兵界之王"</formula>
    </cfRule>
    <cfRule type="cellIs" dxfId="3" priority="70" operator="equal">
      <formula>"神曲之符文英雄"</formula>
    </cfRule>
    <cfRule type="cellIs" dxfId="3" priority="69" operator="equal">
      <formula>"兽血再燃"</formula>
    </cfRule>
    <cfRule type="cellIs" dxfId="4" priority="68" operator="equal">
      <formula>"大唐无双"</formula>
    </cfRule>
    <cfRule type="cellIs" dxfId="4" priority="67" operator="equal">
      <formula>"镇魔曲"</formula>
    </cfRule>
    <cfRule type="cellIs" dxfId="5" priority="66" operator="equal">
      <formula>"西游伏妖篇"</formula>
    </cfRule>
    <cfRule type="cellIs" dxfId="10" priority="65" operator="equal">
      <formula>"阴阳师"</formula>
    </cfRule>
    <cfRule type="cellIs" dxfId="11" priority="64" operator="equal">
      <formula>"无尽战区"</formula>
    </cfRule>
    <cfRule type="cellIs" dxfId="3" priority="63" operator="equal">
      <formula>"新世纪福音战士OL"</formula>
    </cfRule>
    <cfRule type="cellIs" dxfId="3" priority="62" operator="equal">
      <formula>"斗罗大陆2"</formula>
    </cfRule>
    <cfRule type="cellIs" dxfId="8" priority="61" operator="equal">
      <formula>"无敌大航海"</formula>
    </cfRule>
    <cfRule type="cellIs" dxfId="11" priority="60" operator="equal">
      <formula>"热血世界"</formula>
    </cfRule>
    <cfRule type="cellIs" dxfId="11" priority="59" operator="equal">
      <formula>"梦幻石器"</formula>
    </cfRule>
  </conditionalFormatting>
  <conditionalFormatting sqref="D3:D5">
    <cfRule type="cellIs" dxfId="0" priority="77" operator="equal">
      <formula>"神曲之符文英雄"</formula>
    </cfRule>
  </conditionalFormatting>
  <conditionalFormatting sqref="E3:E5">
    <cfRule type="cellIs" dxfId="0" priority="58" operator="equal">
      <formula>"神曲之符文英雄"</formula>
    </cfRule>
  </conditionalFormatting>
  <conditionalFormatting sqref="F3:F5">
    <cfRule type="cellIs" dxfId="0" priority="57" operator="equal">
      <formula>"神曲之符文英雄"</formula>
    </cfRule>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WM</dc:creator>
  <cp:lastModifiedBy>王淼</cp:lastModifiedBy>
  <dcterms:created xsi:type="dcterms:W3CDTF">2025-12-29T06:30:11Z</dcterms:created>
  <dcterms:modified xsi:type="dcterms:W3CDTF">2025-12-29T06:34:40Z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A6ED92F8EDEE4D8B9F029D2794A89AC5_13</vt:lpwstr>
  </property>
  <property fmtid="{D5CDD505-2E9C-101B-9397-08002B2CF9AE}" pid="3" name="KSOProductBuildVer">
    <vt:lpwstr>2052-12.1.0.24034</vt:lpwstr>
  </property>
  <property fmtid="{D5CDD505-2E9C-101B-9397-08002B2CF9AE}" pid="4" name="CalculationRule">
    <vt:i4>1</vt:i4>
  </property>
</Properties>
</file>